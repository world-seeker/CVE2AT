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onsensus" sheetId="1" state="visible" r:id="rId3"/>
    <sheet name="Results" sheetId="2" state="visible" r:id="rId4"/>
    <sheet name="A1_annotation" sheetId="3" state="visible" r:id="rId5"/>
    <sheet name="A2_annotation" sheetId="4" state="visible" r:id="rId6"/>
    <sheet name="Reference_Documents" sheetId="5" state="visible" r:id="rId7"/>
    <sheet name="Labeling_Guide" sheetId="6" state="visible" r:id="rId8"/>
  </sheets>
  <definedNames>
    <definedName function="false" hidden="true" localSheetId="2" name="_xlnm._FilterDatabase" vbProcedure="false">A1_annotation!$A$1:$O$52</definedName>
    <definedName function="false" hidden="true" localSheetId="3" name="_xlnm._FilterDatabase" vbProcedure="false">A2_annotation!$A$1:$O$52</definedName>
    <definedName function="false" hidden="true" localSheetId="0" name="_xlnm._FilterDatabase" vbProcedure="false">consensus!$A$1:$I$52</definedName>
    <definedName function="false" hidden="true" localSheetId="4" name="_xlnm._FilterDatabase" vbProcedure="false">Reference_Documents!$A$1:$C$3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<sst xmlns="http://schemas.openxmlformats.org/spreadsheetml/2006/main" count="2035" uniqueCount="380">
  <si>
    <t xml:space="preserve">Path ID</t>
  </si>
  <si>
    <t xml:space="preserve">Tactic</t>
  </si>
  <si>
    <t xml:space="preserve">A1 Validation</t>
  </si>
  <si>
    <t xml:space="preserve">A2 Validation</t>
  </si>
  <si>
    <t xml:space="preserve">A1 Rationale</t>
  </si>
  <si>
    <t xml:space="preserve">A2 Rationale</t>
  </si>
  <si>
    <t xml:space="preserve">Consensus Label</t>
  </si>
  <si>
    <t xml:space="preserve">Consensus  Rationale</t>
  </si>
  <si>
    <t xml:space="preserve">Path Key</t>
  </si>
  <si>
    <t xml:space="preserve">P001</t>
  </si>
  <si>
    <t xml:space="preserve">Initial Access</t>
  </si>
  <si>
    <t xml:space="preserve">Confirmed</t>
  </si>
  <si>
    <t xml:space="preserve"> D0001 records researcher Jared Bird with Allina IS Security, identifying that SIGMA Spectrum Version 6.05 (model 35700BAX) contains a hard-coded password for physical access and a default account with hard-coded credentials on WBM v16 used for FTP network access. D0002 reports similar credential discoveries in later versions. The documented default account and hard-coded credentials provide direct evidence for attempting access using common or default usernames and passwords, as described by CAPEC-70 and corresponding to T1078.001 (Valid Accounts: Default Accounts). Therefore, the path is classified as Confirmed.</t>
  </si>
  <si>
    <t xml:space="preserve">D0001 and D0002 document built-in credentials on this device: a keypad password opening biomedical menus (D0001 and D0002 4.2.1), an FTP default account (D0001), and Telnet and FTP logins on later WBMs (D0002 4.2.3, 4.2.5). Using such built-in accounts is the default-account behavior.</t>
  </si>
  <si>
    <t xml:space="preserve">Both annotators agree.</t>
  </si>
  <si>
    <t xml:space="preserve">CWE-798|T1078|T1078.001|CAPEC-70</t>
  </si>
  <si>
    <t xml:space="preserve">P002</t>
  </si>
  <si>
    <t xml:space="preserve">Persistence</t>
  </si>
  <si>
    <t xml:space="preserve">D0001 records the  default account with hard-coded credentials on WBM v16 used with FTP. Whereas D0002 reports similar findings related to credentials in later WBM versions. These documented default credentials provide direct evidence for reuse of a valid default account, corresponding to CAPEC-70 and T1078.001 (Valid Accounts: Default Accounts). The underlying credential-based access behavior is therefore confirmed.</t>
  </si>
  <si>
    <t xml:space="preserve">Same Path Key as P001. Hard-coded credentials keep working across sessions, and D0001 says Baxter planned only a future fix. D0005 1.1 notes default passcodes are hard to revoke.</t>
  </si>
  <si>
    <t xml:space="preserve">P003</t>
  </si>
  <si>
    <t xml:space="preserve">Plausible</t>
  </si>
  <si>
    <t xml:space="preserve">No supporting evidence found</t>
  </si>
  <si>
    <t xml:space="preserve">D0005 describes the Baxter Gateway/pump-server architecture and its role in managing drug libraries and software. D0002 (s4.2.2) and D0003 (s4.2.4) establish that the WBM has a security-relevant communication relationship with the Gateway Server that lacks authentication. D0001 shows that the V6.05/WBM16 platform has vulnerabilities that may allow remote command execution and potential host-network access. Finally, D0004 records that exploitation of the WBM could result in delivery of code embedded in a packet payload that may be executed by the WBM, as well as delivery of a modified Drug Library to the pump. Thus, the relevant components, communication paths, and capabilities associated with the proposed attack are plausible. However, their exploitation specifically to install or execute a malicious server component has not been demonstrated or documented in the sources reviewed for this validation. Therefore, the path is classified as Plausible. Additionally, MITRE ATT&amp;CK lists Network Devices among the applicable platforms for T1505.003.</t>
  </si>
  <si>
    <t xml:space="preserve">A web shell needs a web server, and no source places one on the WBM or pump. D0005 mentions a web server only on the pump server. D0001 (unauthenticated SSH) and D0004 (possible code execution) show a foothold, but not a planted server component. D0002 4.2.4 says CLI changes vanish on reboot.</t>
  </si>
  <si>
    <t xml:space="preserve">D0003 s4.2.4 and D0004 support A1’s gateway-link and code-execution points, but neither establishes access to a web server or a web-shell-capable interface on the WBM. A2 identifies the missing web-shell evidence, although D0005 places the web-server capability in a multi-vendor description that includes the Baxter Gateway. No source documents uploading or executing a web shell on the Baxter system. 
Therefore, no supporting evidence was found for this path in D0001-D0007.</t>
  </si>
  <si>
    <t xml:space="preserve">CWE-287|T1505|T1505.003|CAPEC-650</t>
  </si>
  <si>
    <t xml:space="preserve">P004</t>
  </si>
  <si>
    <t xml:space="preserve">D0002 (s4.2.4) records that the WBM Telnet CLI exposes sensitive data, permits temporary network-setting changes, and allows the WBM to be rebooted. 
D0002 s4.2.3 also notes that the WBM runs a Telnet service with hard-coded credentials. While D0004 “Potential Impact” records that an unauthorised user could deliver code in a packet payload that may be executed by the WBM. These findings support the proposed attack, but modification of a service file or its permissions is not directly demonstrated. Therefore, the path is classified as Plausible.</t>
  </si>
  <si>
    <t xml:space="preserve">D0002 4.2.3-4.2.4 contains the WBM Telnet CLI exposes sensitive data and allows network changes and a reboot through a hard-coded login. That is functionality not properly restricted. No source describes tampering with service files or their permissions.</t>
  </si>
  <si>
    <t xml:space="preserve">CWE-732|T1574|T1574.010|CAPEC-1</t>
  </si>
  <si>
    <t xml:space="preserve">P005</t>
  </si>
  <si>
    <t xml:space="preserve">D0002 s4.2.3/4 documents an access-control weakness in the WBM's Telnet CLI. Different mechanism than an installer or executable file permission weakness. D0005 s6.3 confirms pumps use a firmware update process, and s5.3.2.2 recommends verifying firmware signatures as a general hardening practice. This is generic best-practice guidance applicable to any device with firmware. There is no documented finding that such verification is absent or weak for this device. No source describes a malicious file substitution or installer permission weakness, demonstrated or otherwise. No supporting evidence was found for T1574.005/CAPEC-17 on this path.</t>
  </si>
  <si>
    <t xml:space="preserve">No source documents an installer or executable file permission flaw or a malicious file being placed. D0001 contains the FTP account cannot transfer files, and D0005 6.3 is generic firmware-update guidance.</t>
  </si>
  <si>
    <t xml:space="preserve">CWE-732|T1574|T1574.005|CAPEC-17</t>
  </si>
  <si>
    <t xml:space="preserve">P006</t>
  </si>
  <si>
    <t xml:space="preserve">D0002 s4.2.3/4 document an access control weakness in the WBM Telnet command-line interface. A different mechanism from a service file permission weakness. The D0004 (Potential Impact) says code delivered as a packet payload may be executed by the WBM. This does not imply that a file or service is replaced. D0005 s6.3 and s5.3.2.2 provide generic guidance on firmware updates and signature checks. No source describes a malicious file can be replaced where a service will run it. No suitable evidence was found in the reviewed sources.</t>
  </si>
  <si>
    <t xml:space="preserve">Same gap as P005. D0004 describes code running from a packet payload, not a service file being replaced.</t>
  </si>
  <si>
    <t xml:space="preserve">CWE-732|T1574|T1574.010|CAPEC-17</t>
  </si>
  <si>
    <t xml:space="preserve">P007</t>
  </si>
  <si>
    <t xml:space="preserve">D0002 s4.2.4 says the WBM Telnet command line shows sensitive WBM data and allows temporary network setting changes and a reboot. s4.2.3 says the Telnet login uses hard-coded credentials on certain SSIDs. That covers the weak access control in CAPEC-180. No source mentions service files or their permissions, which is what T1574.010 needs. An attacker could get into the WBM this way, but a service hijack is not documented.</t>
  </si>
  <si>
    <t xml:space="preserve">Same Path Key as P004. The Telnet CLI access-control weakness in D0002 4.2.3-4.2.4 fits misconfigured access levels. Service hijacking is not documented.</t>
  </si>
  <si>
    <t xml:space="preserve">CWE-732|T1574|T1574.010|CAPEC-180</t>
  </si>
  <si>
    <t xml:space="preserve">P008</t>
  </si>
  <si>
    <t xml:space="preserve">No source mentions a terminal services component, a DLL or a replaced binary on the WBM, the pump or the Gateway. The closest are Telnet access D0002 and code that may run on the WBM through Ripple20 D0004, but neither describes swapping or loading a file. D0005 s5.3.1.4 mentions RDP for vendor access, which is the NIST lab design and not a Baxter finding. No suitable evidence was found in the reviewed sources.</t>
  </si>
  <si>
    <t xml:space="preserve">No source describes replacing binaries or DLLs. D0004 contains the WBM runs Digi Net+OS, which does not match a Windows terminal-services mechanism.</t>
  </si>
  <si>
    <t xml:space="preserve">CWE-732|T1505|T1505.005|CAPEC-642</t>
  </si>
  <si>
    <t xml:space="preserve">P009</t>
  </si>
  <si>
    <t xml:space="preserve">No source describes a program or firmware on the WBM, the pump or the Gateway being modified. D0004 (Potential Impact) says a modified Drug Library could be delivered to the pump, but that is data and not a software binary. D0005 s5.3.2.2 and s5.3.3.3 only give general advice on checking firmware and using code signing. No suitable evidence was found in the reviewed sources.</t>
  </si>
  <si>
    <t xml:space="preserve">I haven't find any source so so source contains a host binary on the WBM or pump being modified. D0004 covers only runtime code execution, not binary change, and D0005 covers firmware updates only generically.</t>
  </si>
  <si>
    <t xml:space="preserve">CWE-732|T1554|T1554|CAPEC-642</t>
  </si>
  <si>
    <t xml:space="preserve">P010</t>
  </si>
  <si>
    <t xml:space="preserve">No source describes an installer or executable file with weak permissions, or a binary being replaced. D0002 s4.2.4 covers temporary Telnet changes to network settings, and D0004 (Potential Impact) covers code that may run on the WBM and a modified Drug Library. That is running code and changing data, not replacing a file. No suitable evidence was found in the reviewed sources.</t>
  </si>
  <si>
    <t xml:space="preserve">Same as P005 with a different CAPEC. Nothing documents replaced binaries or installer files.</t>
  </si>
  <si>
    <t xml:space="preserve">CWE-732|T1574|T1574.005|CAPEC-642</t>
  </si>
  <si>
    <t xml:space="preserve">P011</t>
  </si>
  <si>
    <t xml:space="preserve">Privilege Escalation</t>
  </si>
  <si>
    <t xml:space="preserve">Same Path Key as P001. The keypad password opens biomedical menus with device settings, calibration values and WBM network configuration (D0002 4.2.1; D0001). D0005 Table 4-2 treats biomedical mode as a separate, passcode-gated level.</t>
  </si>
  <si>
    <t xml:space="preserve">P012</t>
  </si>
  <si>
    <t xml:space="preserve">D0001 says WBM can be reached on Port 22/SSH without authentication, and that a remote attacker may change the WBM configuration and issue commands to get account credentials and shared keys. D0003 s4.2.4 adds that the WBM does not authenticate the gateway server host. Both fit the weak authentication in CAPEC-114. No source describes gaining higher privileges from a lower level as described by T1548 covers. </t>
  </si>
  <si>
    <t xml:space="preserve">D0001 documents SSH on the WBM open remotely with no authentication, allowing configuration changes and commands that reveal credentials and shared keys. That fits authentication abuse. No exact step is shown.</t>
  </si>
  <si>
    <t xml:space="preserve">CWE-287|T1548|T1548|CAPEC-114</t>
  </si>
  <si>
    <t xml:space="preserve">P013</t>
  </si>
  <si>
    <t xml:space="preserve">D0001 Authentication Bypass Issues states that WBM v16 can be reached on Port 22/SSH without authentication. Thus, a remote attacker may change the WBM configuration and issue commands. That is getting in without credentials, which is CAPEC-115. It does not say the access is used to gain higher privileges, which is what T1548 covers. 
</t>
  </si>
  <si>
    <t xml:space="preserve">D0001 names this issue an authentication bypass on SSH, which matches CAPEC-115. Elevation, which T1548 needs,that is not documented.</t>
  </si>
  <si>
    <t xml:space="preserve">CWE-287|T1548|T1548|CAPEC-115</t>
  </si>
  <si>
    <t xml:space="preserve">P014</t>
  </si>
  <si>
    <t xml:space="preserve">D0006 says EXTCOM (a proprietary application layer protocol) messages carry a session token and an authentication token in the header. D0002 s4.2.2 and D0003 s4.2.4 describe a clear-text channel and a missing check of the gateway server host that a man in the middle could use. No source shows a token being captured or impersonated. T1134 is about Windows access tokens, and no source describes those on the WBM (D0004 says the WBM runs Digi Net+OS).</t>
  </si>
  <si>
    <t xml:space="preserve">In the reference documents there is no source that describes tokens being stolen or impersonated. D0006 only mentions an authentication token in the message header, with no weakness.</t>
  </si>
  <si>
    <t xml:space="preserve">A1’s identifies that D0006 supports an application-level authentication token. A2 notes that no source documents token capture or impersonation. D0002, D0003 and D0007 establish communication conditions that could support interception or redirection. However, D0006 does not explicitly link the token to the WBM-Gateway channel and its encryption flag does not establish token exposure. D0004 limits the direct T1134 mapping because the WBM runs Digi Net+OS, but the underlying token-impersonation behaviour is sufficiently supported to classify the path as Plausible.</t>
  </si>
  <si>
    <t xml:space="preserve">CWE-287|T1134|T1134|CAPEC-633</t>
  </si>
  <si>
    <t xml:space="preserve">P015</t>
  </si>
  <si>
    <t xml:space="preserve">Same Path Key as P004.</t>
  </si>
  <si>
    <t xml:space="preserve">P016</t>
  </si>
  <si>
    <t xml:space="preserve">D0002 s4.2.4 says the WBM Telnet command line shows sensitive WBM data and allows temporary network setting changes and a reboot, and s4.2.3 says the Telnet login uses hard-coded credentials on certain SSIDs. So functions that should be restricted can be reached, which is the idea in CAPEC-122. No source describes going from a limited account to a higher one, which is what T1548 covers.</t>
  </si>
  <si>
    <t xml:space="preserve">D0002 4.2.3-4.2.4 contains a hard-coded Telnet login reaches privileged WBM functions. No separate privilege levels or an elevation step are shown. </t>
  </si>
  <si>
    <t xml:space="preserve">CWE-732|T1548|T1548|CAPEC-122</t>
  </si>
  <si>
    <t xml:space="preserve">P017</t>
  </si>
  <si>
    <t xml:space="preserve">Same Path Key as P005.</t>
  </si>
  <si>
    <t xml:space="preserve">P018</t>
  </si>
  <si>
    <t xml:space="preserve">Same Path Key as P006.</t>
  </si>
  <si>
    <t xml:space="preserve">P019</t>
  </si>
  <si>
    <t xml:space="preserve">Same Path Key as P007.</t>
  </si>
  <si>
    <t xml:space="preserve">P020</t>
  </si>
  <si>
    <t xml:space="preserve">D0006 says EXTCOM messages carry a session token and an authentication token in the header. D0002 s4.2.2 and D0003 s4.2.4 describe a clear-text channel and a missing check of the gateway server host that a man in the middle could use. No source shows a session token being captured or accepted again when replayed. </t>
  </si>
  <si>
    <t xml:space="preserve">No source documents session IDs or their reuse for this device. </t>
  </si>
  <si>
    <t xml:space="preserve">D0006 documents a session token mechanism in the Baxter EXTCOM. D0002 s4.2.2 and D0003 s4.2.4 document a clear-text channel with a lack of mutual authentication of the gateway host, as noted by A1. A2 notes that no source shows a session ID being captured or reused. The CVE source D0002 4.2.4 covers Telnet CLI access and does not mentions a session ID. D0006 does not name the WBM, so the link to the WBM is an inference. The Digi Net+OS point in D0004 limits only the T1134.001 mapping, so this path is marked Plausible.</t>
  </si>
  <si>
    <t xml:space="preserve">CWE-732|T1134|T1134.001|CAPEC-60</t>
  </si>
  <si>
    <t xml:space="preserve">P021</t>
  </si>
  <si>
    <t xml:space="preserve">Same Path Key as P010.</t>
  </si>
  <si>
    <t xml:space="preserve">P022</t>
  </si>
  <si>
    <t xml:space="preserve">Defense Evasion</t>
  </si>
  <si>
    <t xml:space="preserve">Same Path Key as P001. The same built-in accounts apply.</t>
  </si>
  <si>
    <t xml:space="preserve">P023</t>
  </si>
  <si>
    <t xml:space="preserve">Same Path Key as P012.</t>
  </si>
  <si>
    <t xml:space="preserve">P024</t>
  </si>
  <si>
    <t xml:space="preserve">Same Path Key as P013.</t>
  </si>
  <si>
    <t xml:space="preserve">P025</t>
  </si>
  <si>
    <t xml:space="preserve">D0006 says EXTCOM messages carry a session token and an authentication token in the header. D0002 s4.2.2 and D0003 s4.2.4 describe a clear-text channel and a missing check of the gateway server host that a man in the middle could use. No source shows a token being captured or an attacker using the token to take over a session as covered in CAPEC-593 and T1550.001.</t>
  </si>
  <si>
    <t xml:space="preserve">In all reference docs , there is no source shows session or token capture but D0002 4.2.2 documents a clear-text channel, and D0003 4.2.4 and D0007 show the gateway link can be intercepted. D0006 shows an authentication token in the message header. So token exposure is credible but not demonstrated.</t>
  </si>
  <si>
    <t xml:space="preserve">CWE-287|T1550|T1550.001|CAPEC-593</t>
  </si>
  <si>
    <t xml:space="preserve">P026</t>
  </si>
  <si>
    <t xml:space="preserve">Same Path Key as P014.</t>
  </si>
  <si>
    <t xml:space="preserve">P027</t>
  </si>
  <si>
    <t xml:space="preserve">P028</t>
  </si>
  <si>
    <t xml:space="preserve">Same Path Key as P016.</t>
  </si>
  <si>
    <t xml:space="preserve">P029</t>
  </si>
  <si>
    <t xml:space="preserve">P030</t>
  </si>
  <si>
    <t xml:space="preserve">P031</t>
  </si>
  <si>
    <t xml:space="preserve">P032</t>
  </si>
  <si>
    <t xml:space="preserve">No source describes an attacker signing malicious code or getting around a signature check on the WBM, the pump or the Gateway. D0005 s5.3.3.3 lists code signing as a general control for pump servers and s5.3.2.2 says to check firmware, but neither says the WBM or pump lacks such checks. D0004 (Potential Impact) says code delivered in a packet may run on the WBM, without mentioning signing. No suitable evidence was found in the reviewed sources.</t>
  </si>
  <si>
    <t xml:space="preserve">In all reference docs , there is no source describes signing or abusing signed code. D0005 5.3.2.1 recommends code signing generally, and Table 4-2 lists an integrity-checking mechanism for Sigma Spectrum v8.</t>
  </si>
  <si>
    <t xml:space="preserve">CWE-732|T1553|T1553.002|CAPEC-206</t>
  </si>
  <si>
    <t xml:space="preserve">P033</t>
  </si>
  <si>
    <t xml:space="preserve">Same Path Key as P020.</t>
  </si>
  <si>
    <t xml:space="preserve">P034</t>
  </si>
  <si>
    <t xml:space="preserve">D0006 says EXTCOM messages carry a session token and an authentication token in the header. D0002 s4.2.2 and D0003 s4.2.4 describe a clear-text channel and a missing check of the gateway server host that a man in the middle could use. No source shows a token being captured or replayed. </t>
  </si>
  <si>
    <t xml:space="preserve">No web interface or cookies are documented on the WBM or pump.</t>
  </si>
  <si>
    <t xml:space="preserve">A1 identifies the EXTCOM session token mentioned in D0006 and the clear-text channel in D0002 and D0003. That token is a protocol field, not a web session cookie. A2 notes that no web interface or cookie is documented on the WBM or pump. The web words in D0005 s5.3.3.2 are multi-vendor text, and D0006 is patent design text. So no supporting evidence was found for this path in D0001-D0007.</t>
  </si>
  <si>
    <t xml:space="preserve">CWE-732|T1550|T1550.004|CAPEC-60</t>
  </si>
  <si>
    <t xml:space="preserve">P035</t>
  </si>
  <si>
    <t xml:space="preserve">P036</t>
  </si>
  <si>
    <t xml:space="preserve">Credential Access</t>
  </si>
  <si>
    <t xml:space="preserve">D0001 Use of Hard-coded Password and D0002 s4.2.1, s4.2.3 and s4.2.5 document hard-coded passwords and credentials on the pump and the WBM. D0001 Cleartext Storage of Sensitive Information adds that wireless credentials stored in cleartext on WBM may be viewed by running commands. No source says credentials were read out of an executable or firmware image (CAPEC-191) or found by searching files (T1552.001).</t>
  </si>
  <si>
    <t xml:space="preserve">There is Hard-coded credentials exist (D0001, D0002). D0007 shows stored secrets (Wi-Fi PSK, SSID) recovered from the pump–battery UART link and battery memory by reverse engineering. No source shows hard-coded credentials read out of an executable.</t>
  </si>
  <si>
    <t xml:space="preserve">CWE-798|T1552|T1552.001|CAPEC-191</t>
  </si>
  <si>
    <t xml:space="preserve">P037</t>
  </si>
  <si>
    <t xml:space="preserve">D0002 s4.2.2 says the pump uses an unauthenticated clear-text channel for status and operational data, and that an attacker who has found a way of avoiding  network security could view it. D0005 s4.1.6 says in general that Telnet and FTP traffic is not encrypted and can be captured. So passive capture is documented as possible. CAPEC-57 is about a REST style interface, and no source describes one on the WBM.</t>
  </si>
  <si>
    <t xml:space="preserve">D0002 4.2.2 documents clear-text, unauthenticated traffic a network attacker could view, and D0005 4.1.6 says Telnet and FTP sessions, including authentication traffic, can be captured. CAPEC-57 concerns REST interfaces and none is documented.</t>
  </si>
  <si>
    <t xml:space="preserve">CWE-287|T1040|T1040|CAPEC-57</t>
  </si>
  <si>
    <t xml:space="preserve">P038</t>
  </si>
  <si>
    <t xml:space="preserve">D0003 s4.2.4 says the WBM does not authenticate the gateway server host. An attacker could act as a machine in the middle and modify parameters, or spoof the server and send crafted data. 
D0002 s4.2.2 says a man in the middle attack could also be done over the clear-text channel on pump v6.x and v8.x. D0007 reports that the gateway address on WBM was changed remotely with an XML message, which the researchers say allows a man in the middle. In practice it needs adjacent network access, and D0003 s5 says attack complexity is high and no public exploits are currently known.</t>
  </si>
  <si>
    <t xml:space="preserve">D0002 4.2.2 describes man-in-the-middle on the clear-text channel, D0003 4.2.4 describes no mutual authentication with the gateway, and D0007 shows the gateway address remotely changeable to intercept all pump traffic.</t>
  </si>
  <si>
    <t xml:space="preserve">CWE-287|T1557|T1557|CAPEC-94</t>
  </si>
  <si>
    <t xml:space="preserve">P039</t>
  </si>
  <si>
    <t xml:space="preserve">D0001 Cleartext Storage of Sensitive Information states an unauthenticated remote attacker may run commands on WBM to view wireless credentials stored in cleartext. Whereas, the  Authentication Bypass Issues record that the SSH service may be used to access shared keys. So reading stored secrets from the WBM is documented. The sources say shared keys, not private keys, and none says a private key was read, which is what T1552.004 covers.</t>
  </si>
  <si>
    <t xml:space="preserve">D0001 documents cleartext credentials and shared keys readable on the WBM. D0003 4.2.1 and D0007 show credentials and the Wi-Fi PSK extracted from stored data. All of this is secret material but not private keys, which T1552.004 covers.</t>
  </si>
  <si>
    <t xml:space="preserve">CWE-312|T1552|T1552.004|CAPEC-37</t>
  </si>
  <si>
    <t xml:space="preserve">P040</t>
  </si>
  <si>
    <t xml:space="preserve">No source describes hooking an API or monitoring API events on the WBM, the pump or the Gateway. Code that may run on the WBM through Ripple20 (D0004, Potential Impact) is not described as hooking anything. Thus, no suitable evidence was found in the reviewed sources.</t>
  </si>
  <si>
    <t xml:space="preserve">In all ref source there is no particularly source describes hooking credential APIs. D0002 supports sniffing, which is a different technique.</t>
  </si>
  <si>
    <t xml:space="preserve">CWE-319|T1056|T1056.004|CAPEC-383</t>
  </si>
  <si>
    <t xml:space="preserve">P041</t>
  </si>
  <si>
    <t xml:space="preserve">D0002 s4.2.2 says an attacker who has bypassed network security could view the unauthenticated clear-text channel on pump. D0005 s4.1.6 says Telnet and FTP traffic can be captured. So sniffing is documented as possible. CAPEC-65 is about capturing application code sent in the clear. D0005 s5.2 lists software updates as a data flow between the pump server and the pumps and s5.3.2.3 recommends encrypting it, but no source says code crosses the WBM channel unencrypted.</t>
  </si>
  <si>
    <t xml:space="preserve">D0002 4.2.2: an attacker past network defences could view the clear-text status and operational data. CAPEC-65 is about sniffing application code, which is not shown.</t>
  </si>
  <si>
    <t xml:space="preserve">CWE-319|T1040|T1040|CAPEC-65</t>
  </si>
  <si>
    <t xml:space="preserve">P042</t>
  </si>
  <si>
    <t xml:space="preserve">Discovery</t>
  </si>
  <si>
    <t xml:space="preserve">Same Path Key as P037.</t>
  </si>
  <si>
    <t xml:space="preserve">P043</t>
  </si>
  <si>
    <t xml:space="preserve">Same Path Key as P041.</t>
  </si>
  <si>
    <t xml:space="preserve">P044</t>
  </si>
  <si>
    <t xml:space="preserve">No source says files or directories on the WBM can be listed. D0002 s4.2.4 says the Telnet command line shows sensitive WBM data, and D0001 (Use of Hard-coded Password) records a default FTP account. No source describes a web server on the WBM. D0005 s4.4 lists a web server for pump servers, but they are a general list across vendors. No suitable evidence was found in the reviewed sources.</t>
  </si>
  <si>
    <t xml:space="preserve">In all ref source there is no particularly source describes listing files or directories. D0001 says the FTP account cannot transfer files. Same FTP lead as P005.</t>
  </si>
  <si>
    <t xml:space="preserve">CWE-732|T1083|T1083|CAPEC-127</t>
  </si>
  <si>
    <t xml:space="preserve">P045</t>
  </si>
  <si>
    <t xml:space="preserve">Lateral Movement</t>
  </si>
  <si>
    <t xml:space="preserve">Same Path Key as P025.</t>
  </si>
  <si>
    <t xml:space="preserve">P046</t>
  </si>
  <si>
    <t xml:space="preserve">D0006 says EXTCOM protocol messages have a session token in the header. While D0002 s4.2.2 and D0003 s4.2.4 describe a clear-text channel and a missing check of the gateway server host that could be used in a man-in-the-middle attack. D0002 s4.2.3 and s4.2.5 also put Telnet and FTP on the WBM, and D0005 s4.1.6 highlights that such sessions can be captured. No source describes a live session on a remote service being taken over, which is what T1563 covers.</t>
  </si>
  <si>
    <t xml:space="preserve">D0005 4.1.6 says unencrypted Telnet and FTP sessions can be captured, and D0002 4.2.3 documents Telnet on the WBM. Session capture capability is shown, takeover is not. Telnet and FTP may include deficiencies that allow for the protocol itself to be compromised, and, because the network session is not encrypted, malicious actors may implement mechanisms to capture network sessions, including any authentication traffic, or to identify sensitive information, such as credentials, configuration information, or any PHI stored on the device.</t>
  </si>
  <si>
    <t xml:space="preserve">CWE-287|T1563|T1563|CAPEC-593</t>
  </si>
  <si>
    <t xml:space="preserve">P047</t>
  </si>
  <si>
    <t xml:space="preserve">Same Path Key as P034.</t>
  </si>
  <si>
    <t xml:space="preserve">P048</t>
  </si>
  <si>
    <t xml:space="preserve">Collection</t>
  </si>
  <si>
    <t xml:space="preserve">D0006 records EXTCOM protocol messages have a session token and an authentication token in the header. D0002 s4.2.2 and D0003 s4.2.4 describe a clear-text channel and a missing check of the gateway server host that a man in the middle could use. No source describes a web browser or a browser session on the WBM, the pump or the Gateway, which T1185 needs. D0005 s5.3.3.2 mentions web services and portals on pump servers, but only as general guidance. Thus, this depends on the session token idea alone, and no session hijack is demonstrated.</t>
  </si>
  <si>
    <t xml:space="preserve">There is no related docs browser or web session is on this device.</t>
  </si>
  <si>
    <t xml:space="preserve">A1 notes that D0005 s5.3.3.2 is general guidance and  that no source describes a browser session on the WBM, pump or Gateway. The EXTCOM token in D0006 is a protocol field, so it cannot stand in for the browser session T1185 needs. A2 notes that no web or browser session is documented on this device. So no supporting evidence was found for this path in D0001-D0007.</t>
  </si>
  <si>
    <t xml:space="preserve">CWE-287|T1185|T1185|CAPEC-593</t>
  </si>
  <si>
    <t xml:space="preserve">P049</t>
  </si>
  <si>
    <t xml:space="preserve">Same Path Key as P038.</t>
  </si>
  <si>
    <t xml:space="preserve">P050</t>
  </si>
  <si>
    <t xml:space="preserve">D0001 (Cleartext Storage of Sensitive Information) says an unauthenticated remote attacker may run commands on WBM v16 to view wireless credentials stored in cleartext. D0002 s4.2.4 says the Telnet command line exposes sensitive WBM data, and D0003 s4.2.1 says the WBM stores network credentials unencrypted, which needs physical access to a device that was not wiped. Reading data stored on the device is what CAPEC-37 and T1005 describe.</t>
  </si>
  <si>
    <t xml:space="preserve">D0001 contains remote commands reading cleartext credentials on the WBM, and D0003 4.2.1 and D0007 show credentials (and PHI on Spectrum IQ) extracted from WBM storage. D0004 adds that a patient ID held in RAM could be exposed.</t>
  </si>
  <si>
    <t xml:space="preserve">CWE-312|T1005|T1005|CAPEC-37</t>
  </si>
  <si>
    <t xml:space="preserve">P051</t>
  </si>
  <si>
    <t xml:space="preserve">Same Path Key as P040.</t>
  </si>
  <si>
    <t xml:space="preserve">Validation of the 51 paths (consensus labels)</t>
  </si>
  <si>
    <t xml:space="preserve">Total</t>
  </si>
  <si>
    <t xml:space="preserve">Percent of all paths</t>
  </si>
  <si>
    <t xml:space="preserve">Inter-annotator agreement between the two annotators, A1 and A2</t>
  </si>
  <si>
    <t xml:space="preserve">What the two annotators said</t>
  </si>
  <si>
    <t xml:space="preserve">Paths (all 51)</t>
  </si>
  <si>
    <t xml:space="preserve">Unique path keys</t>
  </si>
  <si>
    <t xml:space="preserve">Both said Confirmed</t>
  </si>
  <si>
    <t xml:space="preserve">Both said Plausible</t>
  </si>
  <si>
    <t xml:space="preserve">Both said No supporting evidence found</t>
  </si>
  <si>
    <t xml:space="preserve">A1 said Plausible, A2 said No supporting evidence found</t>
  </si>
  <si>
    <t xml:space="preserve">Any other combination</t>
  </si>
  <si>
    <t xml:space="preserve">Number where A1 and A2 agree</t>
  </si>
  <si>
    <t xml:space="preserve">Percent agreement</t>
  </si>
  <si>
    <t xml:space="preserve">Agreement expected by chance</t>
  </si>
  <si>
    <t xml:space="preserve">Cohen's kappa</t>
  </si>
  <si>
    <t xml:space="preserve">Consensus outcome on disputed keys</t>
  </si>
  <si>
    <t xml:space="preserve">Paths</t>
  </si>
  <si>
    <t xml:space="preserve">Keys where A1 and A2 disagreed</t>
  </si>
  <si>
    <t xml:space="preserve"> final label: Confirmed</t>
  </si>
  <si>
    <t xml:space="preserve">final label: Plausible</t>
  </si>
  <si>
    <t xml:space="preserve"> final label: No supporting evidence found</t>
  </si>
  <si>
    <t xml:space="preserve">CWE ID</t>
  </si>
  <si>
    <t xml:space="preserve">CWE Name</t>
  </si>
  <si>
    <t xml:space="preserve">Technique</t>
  </si>
  <si>
    <t xml:space="preserve">Technique Name</t>
  </si>
  <si>
    <t xml:space="preserve">Sub-technique</t>
  </si>
  <si>
    <t xml:space="preserve">CAPEC ID</t>
  </si>
  <si>
    <t xml:space="preserve">CAPEC Name</t>
  </si>
  <si>
    <t xml:space="preserve">CVE(s)</t>
  </si>
  <si>
    <t xml:space="preserve">Cross-Tactic Repeat</t>
  </si>
  <si>
    <t xml:space="preserve">Validation</t>
  </si>
  <si>
    <t xml:space="preserve">Validation Rationale</t>
  </si>
  <si>
    <t xml:space="preserve">Notes</t>
  </si>
  <si>
    <t xml:space="preserve">CWE-798</t>
  </si>
  <si>
    <t xml:space="preserve">Use of Hard-coded Credentials</t>
  </si>
  <si>
    <t xml:space="preserve">T1078</t>
  </si>
  <si>
    <t xml:space="preserve">Valid Accounts</t>
  </si>
  <si>
    <t xml:space="preserve">Valid Accounts: Default Accounts</t>
  </si>
  <si>
    <t xml:space="preserve">CAPEC-70</t>
  </si>
  <si>
    <t xml:space="preserve">Try Common or Default Usernames and Passwords</t>
  </si>
  <si>
    <t xml:space="preserve">CVE-2014-5431, CVE-2014-5434, CVE-2020-12039, CVE-2020-12045, CVE-2020-12047</t>
  </si>
  <si>
    <t xml:space="preserve">Yes</t>
  </si>
  <si>
    <t xml:space="preserve">D0001 and D0002 provide device-specific evidence for the same hard-coded/default credentials.</t>
  </si>
  <si>
    <t xml:space="preserve">CWE-287</t>
  </si>
  <si>
    <t xml:space="preserve">Improper Authentication</t>
  </si>
  <si>
    <t xml:space="preserve">T1505</t>
  </si>
  <si>
    <t xml:space="preserve">Server Software Component</t>
  </si>
  <si>
    <t xml:space="preserve">Server Software Component: Web Shell</t>
  </si>
  <si>
    <t xml:space="preserve">CAPEC-650</t>
  </si>
  <si>
    <t xml:space="preserve">Upload a Web Shell to a Web Server</t>
  </si>
  <si>
    <t xml:space="preserve">CVE-2014-5432</t>
  </si>
  <si>
    <t xml:space="preserve">No</t>
  </si>
  <si>
    <t xml:space="preserve">Additionally, MITRE ATT&amp;CK lists Network Devices among the applicable platforms for T1505.003. The sources documented D0001-D0005 were retained as supporting documents because they establish the relevant WBM, Gateway Server, and pump-server relationships; none directly documents installation or execution of a malicious server component. 
</t>
  </si>
  <si>
    <t xml:space="preserve">CWE-732</t>
  </si>
  <si>
    <t xml:space="preserve">Incorrect Permission Assignment for Critical Resource</t>
  </si>
  <si>
    <t xml:space="preserve">T1574</t>
  </si>
  <si>
    <t xml:space="preserve">Hijack Execution Flow</t>
  </si>
  <si>
    <t xml:space="preserve">Hijack Execution Flow: Services File Permissions Weakness</t>
  </si>
  <si>
    <t xml:space="preserve">CAPEC-1</t>
  </si>
  <si>
    <t xml:space="preserve">Accessing Functionality Not Properly Constrained by ACLs</t>
  </si>
  <si>
    <t xml:space="preserve">CVE-2020-12041</t>
  </si>
  <si>
    <t xml:space="preserve">D0002 §4.2.3-§4.2.4 and D0004 are retained as supporting documents because they establish the WBM's unauthenticated Telnet access and code-execution capability. While none directly documents a service-file or permission modification. D0002 §4.2.4 clarifies changes are temporary and removed on reboot, but the same process may be carried out again.</t>
  </si>
  <si>
    <t xml:space="preserve">Hijack Execution Flow: Executable Installer File Permissions Weakness</t>
  </si>
  <si>
    <t xml:space="preserve">CAPEC-17</t>
  </si>
  <si>
    <t xml:space="preserve">Using Malicious Files</t>
  </si>
  <si>
    <t xml:space="preserve">This does not make the path impossible</t>
  </si>
  <si>
    <t xml:space="preserve">The reviwed sources do not document this path. The possibility of exploit cannot be ignored.</t>
  </si>
  <si>
    <t xml:space="preserve">CAPEC-180</t>
  </si>
  <si>
    <t xml:space="preserve">Exploiting Incorrectly Configured Access Control Security Levels</t>
  </si>
  <si>
    <t xml:space="preserve">Baxter says the Telnet changes are lost on reboot (D0002 §4.2.4), and D0003 §5 says Telnet was still being disabled in 2022. </t>
  </si>
  <si>
    <t xml:space="preserve">Server Software Component: Terminal Services DLL</t>
  </si>
  <si>
    <t xml:space="preserve">CAPEC-642</t>
  </si>
  <si>
    <t xml:space="preserve">Replace Binaries</t>
  </si>
  <si>
    <t xml:space="preserve">This does not mean it cannot happen, only that the reviewed sources do not document it. </t>
  </si>
  <si>
    <t xml:space="preserve">T1554</t>
  </si>
  <si>
    <t xml:space="preserve">Compromise Host Software Binary</t>
  </si>
  <si>
    <t xml:space="preserve">This does not mean it cannot happen, only that the reviewed sources do not document it. Same label as the other CAPEC-642 (Replace Binaries) paths.</t>
  </si>
  <si>
    <t xml:space="preserve">T1548</t>
  </si>
  <si>
    <t xml:space="preserve">Abuse Elevation Control Mechanism</t>
  </si>
  <si>
    <t xml:space="preserve">CAPEC-114</t>
  </si>
  <si>
    <t xml:space="preserve">Authentication Abuse</t>
  </si>
  <si>
    <t xml:space="preserve">D0001 covers SIGMA Spectrum with WBM v16. Baxter says the pump cannot be controlled from the WBM. Additonally, D0001 Vulnerability Details records that a low-skill attacker could exploit these issues . </t>
  </si>
  <si>
    <t xml:space="preserve">CAPEC-115</t>
  </si>
  <si>
    <t xml:space="preserve">Authentication Bypass</t>
  </si>
  <si>
    <t xml:space="preserve">Later WBM versions have Telnet with hard-coded credentials instead (D0002 §4.2.3)</t>
  </si>
  <si>
    <t xml:space="preserve">T1134</t>
  </si>
  <si>
    <t xml:space="preserve">Access Token Manipulation</t>
  </si>
  <si>
    <t xml:space="preserve">CAPEC-633</t>
  </si>
  <si>
    <t xml:space="preserve">Token Impersonation</t>
  </si>
  <si>
    <t xml:space="preserve">D0006 is a patent and an added source (see Reference Documents sheet). Its message header also has an encryption flag, so it is not known whether the token can be read on the affected firmware. ATT&amp;CK lists T1134 for Windows only. </t>
  </si>
  <si>
    <t xml:space="preserve">CAPEC-122</t>
  </si>
  <si>
    <t xml:space="preserve">Privilege Abuse</t>
  </si>
  <si>
    <t xml:space="preserve">Access Token Manipulation: Token Impersonation/Theft</t>
  </si>
  <si>
    <t xml:space="preserve">CAPEC-60</t>
  </si>
  <si>
    <t xml:space="preserve">Reusing Session IDs (aka Session Replay)</t>
  </si>
  <si>
    <t xml:space="preserve">The evidence is the EXTCOM channel</t>
  </si>
  <si>
    <t xml:space="preserve">T1550</t>
  </si>
  <si>
    <t xml:space="preserve">Use Alternate Authentication Material</t>
  </si>
  <si>
    <t xml:space="preserve">Use Alternate Authentication Material: Application Access Token</t>
  </si>
  <si>
    <t xml:space="preserve">CAPEC-593</t>
  </si>
  <si>
    <t xml:space="preserve">Session Hijacking</t>
  </si>
  <si>
    <t xml:space="preserve">Same session token evidence and label as the other session paths (CAPEC-60, CAPEC-593, CAPEC-633).</t>
  </si>
  <si>
    <t xml:space="preserve">T1553</t>
  </si>
  <si>
    <t xml:space="preserve">Subvert Trust Controls</t>
  </si>
  <si>
    <t xml:space="preserve">Subvert Trust Controls: Code Signing</t>
  </si>
  <si>
    <t xml:space="preserve">CAPEC-206</t>
  </si>
  <si>
    <t xml:space="preserve">Signing Malicious Code</t>
  </si>
  <si>
    <t xml:space="preserve">This does not mean it cannot happen, only that the reviewed sources do not document it.</t>
  </si>
  <si>
    <t xml:space="preserve">Use Alternate Authentication Material: Web Session Cookie</t>
  </si>
  <si>
    <t xml:space="preserve">T1552</t>
  </si>
  <si>
    <t xml:space="preserve">Unsecured Credentials</t>
  </si>
  <si>
    <t xml:space="preserve">Unsecured Credentials: Credentials In Files</t>
  </si>
  <si>
    <t xml:space="preserve">CAPEC-191</t>
  </si>
  <si>
    <t xml:space="preserve">Read Sensitive Constants Within an Executable</t>
  </si>
  <si>
    <t xml:space="preserve">The keypad passwords need physical access (D0001, D0002 §4.2.1).</t>
  </si>
  <si>
    <t xml:space="preserve">T1040</t>
  </si>
  <si>
    <t xml:space="preserve">Network Sniffing</t>
  </si>
  <si>
    <t xml:space="preserve">CAPEC-57</t>
  </si>
  <si>
    <t xml:space="preserve">Utilizing REST's Trust in the System Resource to Obtain Sensitive Data</t>
  </si>
  <si>
    <t xml:space="preserve">D0002 §4.2.2 only mentions status and operational data, so it is not clear what an attacker would actually see.</t>
  </si>
  <si>
    <t xml:space="preserve">T1557</t>
  </si>
  <si>
    <t xml:space="preserve">Adversary-in-the-Middle</t>
  </si>
  <si>
    <t xml:space="preserve">CAPEC-94</t>
  </si>
  <si>
    <t xml:space="preserve">Adversary in the Middle (AiTM)</t>
  </si>
  <si>
    <t xml:space="preserve">The sources document the man in the middle itself, not stealing credentials or collecting data through it. </t>
  </si>
  <si>
    <t xml:space="preserve">CWE-312</t>
  </si>
  <si>
    <t xml:space="preserve">Cleartext Storage of Sensitive Information</t>
  </si>
  <si>
    <t xml:space="preserve">Unsecured Credentials: Private Keys</t>
  </si>
  <si>
    <t xml:space="preserve">CAPEC-37</t>
  </si>
  <si>
    <t xml:space="preserve">Retrieve Embedded Sensitive Data</t>
  </si>
  <si>
    <t xml:space="preserve">CVE-2014-5433</t>
  </si>
  <si>
    <t xml:space="preserve">CWE-319</t>
  </si>
  <si>
    <t xml:space="preserve">Cleartext Transmission of Sensitive Information</t>
  </si>
  <si>
    <t xml:space="preserve">T1056</t>
  </si>
  <si>
    <t xml:space="preserve">Input Capture</t>
  </si>
  <si>
    <t xml:space="preserve">Input Capture: Credential API Hooking</t>
  </si>
  <si>
    <t xml:space="preserve">CAPEC-383</t>
  </si>
  <si>
    <t xml:space="preserve">Harvesting Information via API Event Monitoring</t>
  </si>
  <si>
    <t xml:space="preserve">CVE-2020-12040</t>
  </si>
  <si>
    <t xml:space="preserve">CAPEC-65</t>
  </si>
  <si>
    <t xml:space="preserve">Sniff Application Code</t>
  </si>
  <si>
    <t xml:space="preserve">T1083</t>
  </si>
  <si>
    <t xml:space="preserve">File and Directory Discovery</t>
  </si>
  <si>
    <t xml:space="preserve">CAPEC-127</t>
  </si>
  <si>
    <t xml:space="preserve">Directory Indexing</t>
  </si>
  <si>
    <t xml:space="preserve">T1563</t>
  </si>
  <si>
    <t xml:space="preserve">Remote Service Session Hijacking</t>
  </si>
  <si>
    <t xml:space="preserve">T1185</t>
  </si>
  <si>
    <t xml:space="preserve">Browser Session Hijacking</t>
  </si>
  <si>
    <t xml:space="preserve"> This has the same session token evidence and label as the other session paths (CAPEC-60, CAPEC-593, CAPEC-633).</t>
  </si>
  <si>
    <t xml:space="preserve">T1005</t>
  </si>
  <si>
    <t xml:space="preserve">Data from Local System</t>
  </si>
  <si>
    <t xml:space="preserve"> No known exploits</t>
  </si>
  <si>
    <t xml:space="preserve">D0001 and D0002 both provide the device-specific evidence for the same hard-coded/default credentials as per path.</t>
  </si>
  <si>
    <t xml:space="preserve">Same as P001 but No source mentions persistence explicitly, so this is slightly weaker than P001.</t>
  </si>
  <si>
    <t xml:space="preserve">This doesn't mean this path is impossible.</t>
  </si>
  <si>
    <t xml:space="preserve">this path haven't clarified the whole thing but D0002 still have few thing so based on that plausible .</t>
  </si>
  <si>
    <t xml:space="preserve">FTP on later WBMs (D0002 4.2.5–4.2.6) is an open lead because D0002 does not say whether files can be moved.</t>
  </si>
  <si>
    <t xml:space="preserve">WBM runs Digi Net+OS (D0004), not an OS with access tokens.This doesn't mean this path is impossible.</t>
  </si>
  <si>
    <t xml:space="preserve">In all reference docs , there is no source discusses evasion or logging.</t>
  </si>
  <si>
    <t xml:space="preserve">There is weak validatation but still D0002 calls the channel unauthenticated, so a token may not exist there.</t>
  </si>
  <si>
    <t xml:space="preserve">That Table 4-2 entry is mildly against the path. But this doesn't mean this path is impossible.</t>
  </si>
  <si>
    <t xml:space="preserve">Related but different secrets and method.</t>
  </si>
  <si>
    <t xml:space="preserve">The path's CVE (CVE-2014-5432, SSH) is not a sniffing issue. The evidence comes from CVE-2020-12040.</t>
  </si>
  <si>
    <t xml:space="preserve">Same caveat on the CVE as P037.</t>
  </si>
  <si>
    <t xml:space="preserve">Telnet and FTP may include deficiencies that allow for the protocol itself to be compromised, and, because the network session is not encrypted, malicious actors may implement mechanisms to capture network sessions, including any authentication traffic, or to identify sensitive information, such as credentials, configuration information, or any PHI stored on the device.</t>
  </si>
  <si>
    <t xml:space="preserve">PHI only applies to Spectrum IQ with auto programming (D0003).</t>
  </si>
  <si>
    <t xml:space="preserve">Doc ID</t>
  </si>
  <si>
    <t xml:space="preserve">Tag</t>
  </si>
  <si>
    <t xml:space="preserve">Reference URL</t>
  </si>
  <si>
    <t xml:space="preserve">D0001</t>
  </si>
  <si>
    <t xml:space="preserve">Mitigation, Third Party Advisory, US Government Resource</t>
  </si>
  <si>
    <t xml:space="preserve">https://www.cisa.gov/news-events/ics-advisories/icsa-15-181-01</t>
  </si>
  <si>
    <t xml:space="preserve">D0002</t>
  </si>
  <si>
    <t xml:space="preserve">Third Party Advisory, US Government Resource</t>
  </si>
  <si>
    <t xml:space="preserve">https://www.cisa.gov/news-events/ics-medical-advisories/icsma-20-170-04</t>
  </si>
  <si>
    <t xml:space="preserve">D0003</t>
  </si>
  <si>
    <t xml:space="preserve">https://www.cisa.gov/uscert/ics/advisories/icsma-22-251-01</t>
  </si>
  <si>
    <t xml:space="preserve">D0004</t>
  </si>
  <si>
    <t xml:space="preserve">Vendor Advisory / Product Security Bulletin</t>
  </si>
  <si>
    <t xml:space="preserve">https://p1.aprimocdn.net/hillrom/26e03e14-fb91-4c71-9935-b3af014e0821/Spectrum-Ripple20_ICSA-20-168-01_October2024_Original%20file.pdf</t>
  </si>
  <si>
    <t xml:space="preserve">D0005</t>
  </si>
  <si>
    <t xml:space="preserve">NIST Special Publication / Authoritative Technical Reference</t>
  </si>
  <si>
    <t xml:space="preserve">https://www.nccoe.nist.gov/publication/1800-8/VolB/</t>
  </si>
  <si>
    <t xml:space="preserve">D0006</t>
  </si>
  <si>
    <t xml:space="preserve">Patent document</t>
  </si>
  <si>
    <t xml:space="preserve">https://patents.google.com/patent/US10071202B2/en</t>
  </si>
  <si>
    <t xml:space="preserve">D0007</t>
  </si>
  <si>
    <t xml:space="preserve">Rapid7</t>
  </si>
  <si>
    <t xml:space="preserve">https://www.rapid7.com/blog/post/2022/09/08/baxter-sigma-spectrum-infusion-pumps-multiple-vulnerabilities-fixed/</t>
  </si>
  <si>
    <t xml:space="preserve">Term</t>
  </si>
  <si>
    <t xml:space="preserve">Definition</t>
  </si>
  <si>
    <t xml:space="preserve">Annotators sheet </t>
  </si>
  <si>
    <t xml:space="preserve">Strong evidence that the weakness-technique-attack pattern combination was explicitly described for this device in at least one of the documents.</t>
  </si>
  <si>
    <t xml:space="preserve">The exact path is not directly documented, but credible evidence supports the underlying attack behaviour for example, from an analogous device in the same product category or underlying technical documuntations.</t>
  </si>
  <si>
    <t xml:space="preserve">No suitable supporting evidence was identified within the predefined search scope. This does NOT establish that the path is impossible or has never occurred  only that the manual search did not find documentation of it.</t>
  </si>
  <si>
    <t xml:space="preserve">One or two sentences explaining WHY this label was chosen. Reference the relevant Doc ID(s) from the Reference Documents sheet where useful, and note here (or in Notes) any additional relevant comment on the attack path</t>
  </si>
  <si>
    <t xml:space="preserve">Anything else worth recording about how this path validated</t>
  </si>
  <si>
    <t xml:space="preserve">Reference Documents (sheet)</t>
  </si>
  <si>
    <t xml:space="preserve">Doc ID / Advisory Tag / Reference URL</t>
  </si>
  <si>
    <t xml:space="preserve">One row per distinct source document referenced anywhere in this dataset.  Tag is whatever tag reference data carries for that URL. it describes the document itself, not any one path.</t>
  </si>
</sst>
</file>

<file path=xl/styles.xml><?xml version="1.0" encoding="utf-8"?>
<styleSheet xmlns="http://schemas.openxmlformats.org/spreadsheetml/2006/main">
  <numFmts count="3">
    <numFmt numFmtId="164" formatCode="General"/>
    <numFmt numFmtId="165" formatCode="0.00%"/>
    <numFmt numFmtId="166" formatCode="0.0000"/>
  </numFmts>
  <fonts count="25">
    <font>
      <sz val="11"/>
      <color theme="1"/>
      <name val="Calibri"/>
      <family val="2"/>
      <charset val="1"/>
    </font>
    <font>
      <sz val="10"/>
      <name val="Arial"/>
      <family val="0"/>
    </font>
    <font>
      <sz val="10"/>
      <name val="Arial"/>
      <family val="0"/>
    </font>
    <font>
      <sz val="10"/>
      <name val="Arial"/>
      <family val="0"/>
    </font>
    <font>
      <sz val="11"/>
      <color theme="1"/>
      <name val="Calibri"/>
      <family val="0"/>
      <charset val="1"/>
    </font>
    <font>
      <b val="true"/>
      <sz val="11"/>
      <color rgb="FFFFFFFF"/>
      <name val="Calibri"/>
      <family val="0"/>
      <charset val="1"/>
    </font>
    <font>
      <b val="true"/>
      <sz val="14"/>
      <color rgb="FFFFFFFF"/>
      <name val="Times New Roman"/>
      <family val="1"/>
      <charset val="1"/>
    </font>
    <font>
      <sz val="11"/>
      <name val="Calibri"/>
      <family val="0"/>
      <charset val="1"/>
    </font>
    <font>
      <sz val="10"/>
      <name val="Times New Roman"/>
      <family val="1"/>
      <charset val="1"/>
    </font>
    <font>
      <b val="true"/>
      <sz val="14"/>
      <color rgb="FFFFFFFE"/>
      <name val="Calibri"/>
      <family val="2"/>
      <charset val="1"/>
    </font>
    <font>
      <b val="true"/>
      <sz val="11"/>
      <color rgb="FFFFFFFE"/>
      <name val="Calibri"/>
      <family val="2"/>
      <charset val="1"/>
    </font>
    <font>
      <b val="true"/>
      <sz val="11"/>
      <color theme="1"/>
      <name val="Calibri"/>
      <family val="2"/>
      <charset val="1"/>
    </font>
    <font>
      <sz val="11"/>
      <color rgb="FFFFFFFE"/>
      <name val="Calibri"/>
      <family val="2"/>
      <charset val="1"/>
    </font>
    <font>
      <b val="true"/>
      <sz val="10"/>
      <color theme="1"/>
      <name val="Calibri"/>
      <family val="0"/>
      <charset val="1"/>
    </font>
    <font>
      <sz val="10"/>
      <color theme="1"/>
      <name val="Calibri"/>
      <family val="0"/>
      <charset val="1"/>
    </font>
    <font>
      <sz val="10"/>
      <color theme="1"/>
      <name val="Times New Roman"/>
      <family val="1"/>
      <charset val="1"/>
    </font>
    <font>
      <sz val="10"/>
      <color rgb="FF000000"/>
      <name val="Times New Roman"/>
      <family val="0"/>
      <charset val="1"/>
    </font>
    <font>
      <b val="true"/>
      <sz val="10"/>
      <color rgb="FFFFFFFF"/>
      <name val="Calibri"/>
      <family val="0"/>
      <charset val="1"/>
    </font>
    <font>
      <sz val="10"/>
      <name val="Calibri"/>
      <family val="0"/>
      <charset val="1"/>
    </font>
    <font>
      <sz val="10"/>
      <name val="Calibri"/>
      <family val="2"/>
      <charset val="1"/>
    </font>
    <font>
      <b val="true"/>
      <sz val="15"/>
      <color theme="1"/>
      <name val="Calibri"/>
      <family val="0"/>
      <charset val="1"/>
    </font>
    <font>
      <sz val="12"/>
      <color theme="1"/>
      <name val="Arial"/>
      <family val="0"/>
      <charset val="1"/>
    </font>
    <font>
      <u val="single"/>
      <sz val="11"/>
      <color theme="10"/>
      <name val="Calibri"/>
      <family val="2"/>
      <charset val="1"/>
    </font>
    <font>
      <b val="true"/>
      <sz val="11"/>
      <color theme="1"/>
      <name val="Calibri"/>
      <family val="0"/>
      <charset val="1"/>
    </font>
    <font>
      <sz val="11"/>
      <color theme="1"/>
      <name val="Times New Roman"/>
      <family val="1"/>
      <charset val="1"/>
    </font>
  </fonts>
  <fills count="13">
    <fill>
      <patternFill patternType="none"/>
    </fill>
    <fill>
      <patternFill patternType="gray125"/>
    </fill>
    <fill>
      <patternFill patternType="solid">
        <fgColor rgb="FF1A2B4A"/>
        <bgColor rgb="FF003366"/>
      </patternFill>
    </fill>
    <fill>
      <patternFill patternType="solid">
        <fgColor rgb="FFF8CBAD"/>
        <bgColor rgb="FFF6C6C6"/>
      </patternFill>
    </fill>
    <fill>
      <patternFill patternType="solid">
        <fgColor rgb="FF004F9E"/>
        <bgColor rgb="FF003366"/>
      </patternFill>
    </fill>
    <fill>
      <patternFill patternType="solid">
        <fgColor rgb="FFFFE8B3"/>
        <bgColor rgb="FFFBE4D8"/>
      </patternFill>
    </fill>
    <fill>
      <patternFill patternType="solid">
        <fgColor rgb="FFC9E4DE"/>
        <bgColor rgb="FFD6E4F0"/>
      </patternFill>
    </fill>
    <fill>
      <patternFill patternType="solid">
        <fgColor rgb="FFF6C6C6"/>
        <bgColor rgb="FFF8CBAD"/>
      </patternFill>
    </fill>
    <fill>
      <patternFill patternType="solid">
        <fgColor rgb="FFD6E4F0"/>
        <bgColor rgb="FFC9E4DE"/>
      </patternFill>
    </fill>
    <fill>
      <patternFill patternType="solid">
        <fgColor rgb="FFE3D5F5"/>
        <bgColor rgb="FFD6E4F0"/>
      </patternFill>
    </fill>
    <fill>
      <patternFill patternType="solid">
        <fgColor rgb="FFFBE4D8"/>
        <bgColor rgb="FFFFE8B3"/>
      </patternFill>
    </fill>
    <fill>
      <patternFill patternType="solid">
        <fgColor rgb="FFD0F0C0"/>
        <bgColor rgb="FFC9E4DE"/>
      </patternFill>
    </fill>
    <fill>
      <patternFill patternType="solid">
        <fgColor rgb="FFE8EDF3"/>
        <bgColor rgb="FFD6E4F0"/>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C8D0DC"/>
      </left>
      <right style="thin">
        <color rgb="FFC8D0DC"/>
      </right>
      <top style="thin">
        <color rgb="FFC8D0DC"/>
      </top>
      <bottom style="thin">
        <color rgb="FFC8D0DC"/>
      </bottom>
      <diagonal/>
    </border>
    <border diagonalUp="false" diagonalDown="false">
      <left style="thin">
        <color rgb="FFC8D0DC"/>
      </left>
      <right style="thin">
        <color rgb="FFC8D0DC"/>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7" fillId="3" borderId="1"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general" vertical="top" textRotation="0" wrapText="true" indent="0" shrinkToFit="false"/>
      <protection locked="true" hidden="false"/>
    </xf>
    <xf numFmtId="164" fontId="9" fillId="4"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10" fillId="4" borderId="0" xfId="0" applyFont="true" applyBorder="fals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center" textRotation="0" wrapText="true" indent="0" shrinkToFit="false"/>
      <protection locked="true" hidden="false"/>
    </xf>
    <xf numFmtId="165" fontId="0" fillId="0" borderId="0" xfId="0" applyFont="fals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13" fillId="2" borderId="2" xfId="0" applyFont="true" applyBorder="true" applyAlignment="true" applyProtection="true">
      <alignment horizontal="center" vertical="center" textRotation="0" wrapText="false" indent="0" shrinkToFit="false"/>
      <protection locked="true" hidden="false"/>
    </xf>
    <xf numFmtId="164" fontId="13" fillId="2" borderId="2" xfId="0" applyFont="true" applyBorder="true" applyAlignment="true" applyProtection="true">
      <alignment horizontal="center" vertical="top" textRotation="0" wrapText="false" indent="0" shrinkToFit="false"/>
      <protection locked="true" hidden="false"/>
    </xf>
    <xf numFmtId="164" fontId="14" fillId="5" borderId="2" xfId="0" applyFont="true" applyBorder="true" applyAlignment="true" applyProtection="true">
      <alignment horizontal="general" vertical="top" textRotation="0" wrapText="false" indent="0" shrinkToFit="false"/>
      <protection locked="true" hidden="false"/>
    </xf>
    <xf numFmtId="164" fontId="15" fillId="5" borderId="2" xfId="0" applyFont="true" applyBorder="true" applyAlignment="true" applyProtection="true">
      <alignment horizontal="general" vertical="top" textRotation="0" wrapText="false" indent="0" shrinkToFit="false"/>
      <protection locked="true" hidden="false"/>
    </xf>
    <xf numFmtId="164" fontId="14" fillId="0" borderId="2" xfId="0" applyFont="true" applyBorder="true" applyAlignment="true" applyProtection="true">
      <alignment horizontal="general" vertical="top" textRotation="0" wrapText="false" indent="0" shrinkToFit="false"/>
      <protection locked="true" hidden="false"/>
    </xf>
    <xf numFmtId="164" fontId="16" fillId="0" borderId="2" xfId="0" applyFont="true" applyBorder="true" applyAlignment="true" applyProtection="true">
      <alignment horizontal="general" vertical="top" textRotation="0" wrapText="false" indent="0" shrinkToFit="false"/>
      <protection locked="true" hidden="false"/>
    </xf>
    <xf numFmtId="164" fontId="8" fillId="0" borderId="2" xfId="0" applyFont="true" applyBorder="true" applyAlignment="true" applyProtection="true">
      <alignment horizontal="general" vertical="top" textRotation="0" wrapText="true" indent="0" shrinkToFit="false"/>
      <protection locked="true" hidden="false"/>
    </xf>
    <xf numFmtId="164" fontId="14" fillId="6" borderId="2" xfId="0" applyFont="true" applyBorder="true" applyAlignment="true" applyProtection="true">
      <alignment horizontal="general" vertical="top" textRotation="0" wrapText="false" indent="0" shrinkToFit="false"/>
      <protection locked="true" hidden="false"/>
    </xf>
    <xf numFmtId="164" fontId="14" fillId="6" borderId="2" xfId="0" applyFont="true" applyBorder="true" applyAlignment="true" applyProtection="true">
      <alignment horizontal="general" vertical="top" textRotation="0" wrapText="true" indent="0" shrinkToFit="false"/>
      <protection locked="true" hidden="false"/>
    </xf>
    <xf numFmtId="164" fontId="14" fillId="7" borderId="2" xfId="0" applyFont="true" applyBorder="true" applyAlignment="true" applyProtection="true">
      <alignment horizontal="general" vertical="top" textRotation="0" wrapText="false" indent="0" shrinkToFit="false"/>
      <protection locked="true" hidden="false"/>
    </xf>
    <xf numFmtId="164" fontId="15" fillId="7" borderId="2" xfId="0" applyFont="true" applyBorder="true" applyAlignment="true" applyProtection="true">
      <alignment horizontal="general" vertical="top"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4" fillId="8" borderId="2" xfId="0" applyFont="true" applyBorder="true" applyAlignment="true" applyProtection="true">
      <alignment horizontal="general" vertical="top" textRotation="0" wrapText="false" indent="0" shrinkToFit="false"/>
      <protection locked="true" hidden="false"/>
    </xf>
    <xf numFmtId="164" fontId="14" fillId="9" borderId="2" xfId="0" applyFont="true" applyBorder="true" applyAlignment="true" applyProtection="true">
      <alignment horizontal="general" vertical="top" textRotation="0" wrapText="false" indent="0" shrinkToFit="false"/>
      <protection locked="true" hidden="false"/>
    </xf>
    <xf numFmtId="164" fontId="14" fillId="10" borderId="2" xfId="0" applyFont="true" applyBorder="true" applyAlignment="true" applyProtection="true">
      <alignment horizontal="general" vertical="top" textRotation="0" wrapText="false" indent="0" shrinkToFit="false"/>
      <protection locked="true" hidden="false"/>
    </xf>
    <xf numFmtId="164" fontId="14" fillId="11" borderId="2" xfId="0" applyFont="true" applyBorder="true" applyAlignment="true" applyProtection="true">
      <alignment horizontal="general" vertical="top" textRotation="0" wrapText="false" indent="0" shrinkToFit="false"/>
      <protection locked="true" hidden="false"/>
    </xf>
    <xf numFmtId="164" fontId="14" fillId="5" borderId="2" xfId="0" applyFont="true" applyBorder="true" applyAlignment="true" applyProtection="true">
      <alignment horizontal="general" vertical="top" textRotation="0" wrapText="true" indent="0" shrinkToFit="false"/>
      <protection locked="true" hidden="false"/>
    </xf>
    <xf numFmtId="164" fontId="17" fillId="2" borderId="2" xfId="0" applyFont="true" applyBorder="true" applyAlignment="true" applyProtection="true">
      <alignment horizontal="center" vertical="center" textRotation="0" wrapText="true" indent="0" shrinkToFit="false"/>
      <protection locked="true" hidden="false"/>
    </xf>
    <xf numFmtId="164" fontId="18" fillId="5" borderId="2" xfId="0" applyFont="true" applyBorder="true" applyAlignment="true" applyProtection="true">
      <alignment horizontal="general" vertical="top" textRotation="0" wrapText="true" indent="0" shrinkToFit="false"/>
      <protection locked="true" hidden="false"/>
    </xf>
    <xf numFmtId="164" fontId="18" fillId="0" borderId="2" xfId="0" applyFont="true" applyBorder="true" applyAlignment="true" applyProtection="true">
      <alignment horizontal="general" vertical="top" textRotation="0" wrapText="true" indent="0" shrinkToFit="false"/>
      <protection locked="true" hidden="false"/>
    </xf>
    <xf numFmtId="164" fontId="19" fillId="0" borderId="2" xfId="0" applyFont="true" applyBorder="true" applyAlignment="true" applyProtection="true">
      <alignment horizontal="general" vertical="top" textRotation="0" wrapText="true" indent="0" shrinkToFit="false"/>
      <protection locked="true" hidden="false"/>
    </xf>
    <xf numFmtId="164" fontId="18" fillId="6" borderId="2" xfId="0" applyFont="true" applyBorder="true" applyAlignment="true" applyProtection="true">
      <alignment horizontal="general" vertical="top" textRotation="0" wrapText="true" indent="0" shrinkToFit="false"/>
      <protection locked="true" hidden="false"/>
    </xf>
    <xf numFmtId="164" fontId="18" fillId="7" borderId="2" xfId="0" applyFont="true" applyBorder="true" applyAlignment="true" applyProtection="true">
      <alignment horizontal="general" vertical="top" textRotation="0" wrapText="true" indent="0" shrinkToFit="false"/>
      <protection locked="true" hidden="false"/>
    </xf>
    <xf numFmtId="164" fontId="18" fillId="8" borderId="2" xfId="0" applyFont="true" applyBorder="true" applyAlignment="true" applyProtection="true">
      <alignment horizontal="general" vertical="top" textRotation="0" wrapText="true" indent="0" shrinkToFit="false"/>
      <protection locked="true" hidden="false"/>
    </xf>
    <xf numFmtId="164" fontId="18" fillId="9" borderId="2" xfId="0" applyFont="true" applyBorder="true" applyAlignment="true" applyProtection="true">
      <alignment horizontal="general" vertical="top" textRotation="0" wrapText="true" indent="0" shrinkToFit="false"/>
      <protection locked="true" hidden="false"/>
    </xf>
    <xf numFmtId="164" fontId="19" fillId="9" borderId="2" xfId="0" applyFont="true" applyBorder="true" applyAlignment="true" applyProtection="true">
      <alignment horizontal="general" vertical="top" textRotation="0" wrapText="true" indent="0" shrinkToFit="false"/>
      <protection locked="true" hidden="false"/>
    </xf>
    <xf numFmtId="164" fontId="18" fillId="10" borderId="2" xfId="0" applyFont="true" applyBorder="true" applyAlignment="true" applyProtection="true">
      <alignment horizontal="general" vertical="top" textRotation="0" wrapText="true" indent="0" shrinkToFit="false"/>
      <protection locked="true" hidden="false"/>
    </xf>
    <xf numFmtId="164" fontId="19" fillId="10" borderId="2" xfId="0" applyFont="true" applyBorder="true" applyAlignment="true" applyProtection="true">
      <alignment horizontal="general" vertical="top" textRotation="0" wrapText="true" indent="0" shrinkToFit="false"/>
      <protection locked="true" hidden="false"/>
    </xf>
    <xf numFmtId="164" fontId="19" fillId="5" borderId="2" xfId="0" applyFont="true" applyBorder="true" applyAlignment="true" applyProtection="true">
      <alignment horizontal="general" vertical="top" textRotation="0" wrapText="true" indent="0" shrinkToFit="false"/>
      <protection locked="true" hidden="false"/>
    </xf>
    <xf numFmtId="164" fontId="18" fillId="11" borderId="2" xfId="0" applyFont="true" applyBorder="true" applyAlignment="true" applyProtection="true">
      <alignment horizontal="general" vertical="top" textRotation="0" wrapText="true" indent="0" shrinkToFit="false"/>
      <protection locked="true" hidden="false"/>
    </xf>
    <xf numFmtId="164" fontId="19" fillId="11" borderId="2" xfId="0" applyFont="true" applyBorder="true" applyAlignment="true" applyProtection="true">
      <alignment horizontal="general" vertical="top" textRotation="0" wrapText="true" indent="0" shrinkToFit="false"/>
      <protection locked="true" hidden="false"/>
    </xf>
    <xf numFmtId="164" fontId="19" fillId="6" borderId="2" xfId="0" applyFont="true" applyBorder="true" applyAlignment="true" applyProtection="true">
      <alignment horizontal="general" vertical="top" textRotation="0" wrapText="true" indent="0" shrinkToFit="false"/>
      <protection locked="true" hidden="false"/>
    </xf>
    <xf numFmtId="164" fontId="19" fillId="7" borderId="2" xfId="0" applyFont="true" applyBorder="true" applyAlignment="true" applyProtection="true">
      <alignment horizontal="general" vertical="top" textRotation="0" wrapText="true" indent="0" shrinkToFit="false"/>
      <protection locked="true" hidden="false"/>
    </xf>
    <xf numFmtId="164" fontId="19" fillId="8" borderId="2" xfId="0" applyFont="true" applyBorder="true" applyAlignment="true" applyProtection="true">
      <alignment horizontal="general" vertical="top" textRotation="0" wrapText="true" indent="0" shrinkToFit="false"/>
      <protection locked="true" hidden="false"/>
    </xf>
    <xf numFmtId="164" fontId="8" fillId="0" borderId="3" xfId="0" applyFont="true" applyBorder="true" applyAlignment="true" applyProtection="true">
      <alignment horizontal="general" vertical="top" textRotation="0" wrapText="true" indent="0" shrinkToFit="false"/>
      <protection locked="true" hidden="false"/>
    </xf>
    <xf numFmtId="164" fontId="20" fillId="2" borderId="2" xfId="0" applyFont="true" applyBorder="true" applyAlignment="true" applyProtection="true">
      <alignment horizontal="center" vertical="center" textRotation="0" wrapText="true" indent="0" shrinkToFit="false"/>
      <protection locked="true" hidden="false"/>
    </xf>
    <xf numFmtId="164" fontId="21" fillId="0" borderId="2" xfId="0" applyFont="true" applyBorder="true" applyAlignment="true" applyProtection="true">
      <alignment horizontal="general" vertical="top" textRotation="0" wrapText="true" indent="0" shrinkToFit="false"/>
      <protection locked="true" hidden="false"/>
    </xf>
    <xf numFmtId="164" fontId="22" fillId="0" borderId="2" xfId="0" applyFont="true" applyBorder="true" applyAlignment="true" applyProtection="true">
      <alignment horizontal="general" vertical="top" textRotation="0" wrapText="true" indent="0" shrinkToFit="false"/>
      <protection locked="true" hidden="false"/>
    </xf>
    <xf numFmtId="164" fontId="21" fillId="0" borderId="0" xfId="0" applyFont="true" applyBorder="false" applyAlignment="true" applyProtection="true">
      <alignment horizontal="general" vertical="bottom" textRotation="0" wrapText="true" indent="0" shrinkToFit="false"/>
      <protection locked="true" hidden="false"/>
    </xf>
    <xf numFmtId="164" fontId="22" fillId="0" borderId="0" xfId="0" applyFont="true" applyBorder="false" applyAlignment="true" applyProtection="true">
      <alignment horizontal="general" vertical="bottom" textRotation="0" wrapText="tru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3" fillId="2" borderId="0" xfId="0" applyFont="true" applyBorder="false" applyAlignment="true" applyProtection="true">
      <alignment horizontal="general" vertical="bottom" textRotation="0" wrapText="false" indent="0" shrinkToFit="false"/>
      <protection locked="true" hidden="false"/>
    </xf>
    <xf numFmtId="164" fontId="13" fillId="1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13">
    <dxf>
      <fill>
        <patternFill patternType="solid">
          <fgColor rgb="FF1A2B4A"/>
          <bgColor rgb="FF000000"/>
        </patternFill>
      </fill>
    </dxf>
    <dxf>
      <fill>
        <patternFill patternType="solid">
          <fgColor rgb="FFF8CBAD"/>
          <bgColor rgb="FF000000"/>
        </patternFill>
      </fill>
    </dxf>
    <dxf>
      <fill>
        <patternFill patternType="solid">
          <bgColor rgb="FF000000"/>
        </patternFill>
      </fill>
    </dxf>
    <dxf>
      <fill>
        <patternFill patternType="solid">
          <fgColor rgb="FFFFFFFF"/>
          <bgColor rgb="FF000000"/>
        </patternFill>
      </fill>
    </dxf>
    <dxf>
      <fill>
        <patternFill patternType="solid">
          <fgColor rgb="FFC9E4DE"/>
          <bgColor rgb="FF000000"/>
        </patternFill>
      </fill>
    </dxf>
    <dxf>
      <fill>
        <patternFill patternType="solid">
          <fgColor rgb="FFD0F0C0"/>
          <bgColor rgb="FF000000"/>
        </patternFill>
      </fill>
    </dxf>
    <dxf>
      <fill>
        <patternFill patternType="solid">
          <fgColor rgb="FFD6E4F0"/>
          <bgColor rgb="FF000000"/>
        </patternFill>
      </fill>
    </dxf>
    <dxf>
      <fill>
        <patternFill patternType="solid">
          <fgColor rgb="FFE3D5F5"/>
          <bgColor rgb="FF000000"/>
        </patternFill>
      </fill>
    </dxf>
    <dxf>
      <fill>
        <patternFill patternType="solid">
          <fgColor rgb="FFF6C6C6"/>
          <bgColor rgb="FF000000"/>
        </patternFill>
      </fill>
    </dxf>
    <dxf>
      <fill>
        <patternFill patternType="solid">
          <fgColor rgb="FFFBE4D8"/>
          <bgColor rgb="FF000000"/>
        </patternFill>
      </fill>
    </dxf>
    <dxf>
      <fill>
        <patternFill patternType="solid">
          <fgColor rgb="FFFFE8B3"/>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FE"/>
      <rgbColor rgb="FFE8EDF3"/>
      <rgbColor rgb="FF660066"/>
      <rgbColor rgb="FFFF8080"/>
      <rgbColor rgb="FF004F9E"/>
      <rgbColor rgb="FFC8D0DC"/>
      <rgbColor rgb="FF000080"/>
      <rgbColor rgb="FFFF00FF"/>
      <rgbColor rgb="FFFFFF00"/>
      <rgbColor rgb="FF00FFFF"/>
      <rgbColor rgb="FF800080"/>
      <rgbColor rgb="FF800000"/>
      <rgbColor rgb="FF008080"/>
      <rgbColor rgb="FF0000FF"/>
      <rgbColor rgb="FF00CCFF"/>
      <rgbColor rgb="FFD6E4F0"/>
      <rgbColor rgb="FFD0F0C0"/>
      <rgbColor rgb="FFFFE8B3"/>
      <rgbColor rgb="FFC9E4DE"/>
      <rgbColor rgb="FFF6C6C6"/>
      <rgbColor rgb="FFE3D5F5"/>
      <rgbColor rgb="FFF8CBAD"/>
      <rgbColor rgb="FF3366FF"/>
      <rgbColor rgb="FF33CCCC"/>
      <rgbColor rgb="FF99CC00"/>
      <rgbColor rgb="FFFBE4D8"/>
      <rgbColor rgb="FFFF9900"/>
      <rgbColor rgb="FFFF6600"/>
      <rgbColor rgb="FF666699"/>
      <rgbColor rgb="FF969696"/>
      <rgbColor rgb="FF003366"/>
      <rgbColor rgb="FF339966"/>
      <rgbColor rgb="FF003300"/>
      <rgbColor rgb="FF333300"/>
      <rgbColor rgb="FF993300"/>
      <rgbColor rgb="FF993366"/>
      <rgbColor rgb="FF333399"/>
      <rgbColor rgb="FF1A2B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www.cisa.gov/news-events/ics-advisories/icsa-15-181-01" TargetMode="External"/><Relationship Id="rId2" Type="http://schemas.openxmlformats.org/officeDocument/2006/relationships/hyperlink" Target="https://www.cisa.gov/news-events/ics-medical-advisories/icsma-20-170-04" TargetMode="External"/><Relationship Id="rId3" Type="http://schemas.openxmlformats.org/officeDocument/2006/relationships/hyperlink" Target="https://www.cisa.gov/uscert/ics/advisories/icsma-22-251-01" TargetMode="External"/><Relationship Id="rId4" Type="http://schemas.openxmlformats.org/officeDocument/2006/relationships/hyperlink" Target="https://p1.aprimocdn.net/hillrom/26e03e14-fb91-4c71-9935-b3af014e0821/Spectrum-Ripple20_ICSA-20-168-01_October2024_Original%20file.pdf" TargetMode="External"/><Relationship Id="rId5" Type="http://schemas.openxmlformats.org/officeDocument/2006/relationships/hyperlink" Target="https://www.nccoe.nist.gov/publication/1800-8/VolB/" TargetMode="External"/><Relationship Id="rId6" Type="http://schemas.openxmlformats.org/officeDocument/2006/relationships/hyperlink" Target="https://patents.google.com/patent/US10071202B2/en" TargetMode="External"/><Relationship Id="rId7" Type="http://schemas.openxmlformats.org/officeDocument/2006/relationships/hyperlink" Target="https://www.rapid7.com/blog/post/2022/09/08/baxter-sigma-spectrum-infusion-pumps-multiple-vulnerabilities-fixed/" TargetMode="External"/><Relationship Id="rId8"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G1" colorId="64" zoomScale="90" zoomScaleNormal="90" zoomScalePageLayoutView="100" workbookViewId="0">
      <pane xSplit="0" ySplit="1" topLeftCell="A20" activePane="bottomLeft" state="frozen"/>
      <selection pane="topLeft" activeCell="G1" activeCellId="0" sqref="G1"/>
      <selection pane="bottomLeft" activeCell="H20" activeCellId="0" sqref="H20"/>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4" min="3" style="1" width="28"/>
    <col collapsed="false" customWidth="true" hidden="false" outlineLevel="0" max="6" min="5" style="1" width="60"/>
    <col collapsed="false" customWidth="true" hidden="false" outlineLevel="0" max="7" min="7" style="1" width="28"/>
    <col collapsed="false" customWidth="true" hidden="false" outlineLevel="0" max="8" min="8" style="1" width="60"/>
    <col collapsed="false" customWidth="true" hidden="false" outlineLevel="0" max="9" min="9" style="1" width="35"/>
  </cols>
  <sheetData>
    <row r="1" customFormat="false" ht="25.5" hidden="false" customHeight="true" outlineLevel="0" collapsed="false">
      <c r="A1" s="2" t="s">
        <v>0</v>
      </c>
      <c r="B1" s="2" t="s">
        <v>1</v>
      </c>
      <c r="C1" s="2" t="s">
        <v>2</v>
      </c>
      <c r="D1" s="2" t="s">
        <v>3</v>
      </c>
      <c r="E1" s="2" t="s">
        <v>4</v>
      </c>
      <c r="F1" s="2" t="s">
        <v>5</v>
      </c>
      <c r="G1" s="3" t="s">
        <v>6</v>
      </c>
      <c r="H1" s="2" t="s">
        <v>7</v>
      </c>
      <c r="I1" s="2" t="s">
        <v>8</v>
      </c>
    </row>
    <row r="2" customFormat="false" ht="135.8" hidden="false" customHeight="false" outlineLevel="0" collapsed="false">
      <c r="A2" s="4" t="s">
        <v>9</v>
      </c>
      <c r="B2" s="4" t="s">
        <v>10</v>
      </c>
      <c r="C2" s="4" t="s">
        <v>11</v>
      </c>
      <c r="D2" s="4" t="s">
        <v>11</v>
      </c>
      <c r="E2" s="4" t="s">
        <v>12</v>
      </c>
      <c r="F2" s="4" t="s">
        <v>13</v>
      </c>
      <c r="G2" s="4" t="s">
        <v>11</v>
      </c>
      <c r="H2" s="4" t="s">
        <v>14</v>
      </c>
      <c r="I2" s="4" t="s">
        <v>15</v>
      </c>
    </row>
    <row r="3" customFormat="false" ht="95.5" hidden="false" customHeight="false" outlineLevel="0" collapsed="false">
      <c r="A3" s="4" t="s">
        <v>16</v>
      </c>
      <c r="B3" s="4" t="s">
        <v>17</v>
      </c>
      <c r="C3" s="4" t="s">
        <v>11</v>
      </c>
      <c r="D3" s="4" t="s">
        <v>11</v>
      </c>
      <c r="E3" s="4" t="s">
        <v>18</v>
      </c>
      <c r="F3" s="4" t="s">
        <v>19</v>
      </c>
      <c r="G3" s="4" t="s">
        <v>11</v>
      </c>
      <c r="H3" s="4" t="s">
        <v>14</v>
      </c>
      <c r="I3" s="4" t="s">
        <v>15</v>
      </c>
    </row>
    <row r="4" customFormat="false" ht="229.85" hidden="false" customHeight="false" outlineLevel="0" collapsed="false">
      <c r="A4" s="5" t="s">
        <v>20</v>
      </c>
      <c r="B4" s="5" t="s">
        <v>17</v>
      </c>
      <c r="C4" s="5" t="s">
        <v>21</v>
      </c>
      <c r="D4" s="5" t="s">
        <v>22</v>
      </c>
      <c r="E4" s="5" t="s">
        <v>23</v>
      </c>
      <c r="F4" s="5" t="s">
        <v>24</v>
      </c>
      <c r="G4" s="5" t="s">
        <v>22</v>
      </c>
      <c r="H4" s="6" t="s">
        <v>25</v>
      </c>
      <c r="I4" s="5" t="s">
        <v>26</v>
      </c>
    </row>
    <row r="5" customFormat="false" ht="122.35" hidden="false" customHeight="false" outlineLevel="0" collapsed="false">
      <c r="A5" s="4" t="s">
        <v>27</v>
      </c>
      <c r="B5" s="4" t="s">
        <v>17</v>
      </c>
      <c r="C5" s="4" t="s">
        <v>21</v>
      </c>
      <c r="D5" s="4" t="s">
        <v>21</v>
      </c>
      <c r="E5" s="4" t="s">
        <v>28</v>
      </c>
      <c r="F5" s="4" t="s">
        <v>29</v>
      </c>
      <c r="G5" s="4" t="s">
        <v>21</v>
      </c>
      <c r="H5" s="4" t="s">
        <v>14</v>
      </c>
      <c r="I5" s="4" t="s">
        <v>30</v>
      </c>
    </row>
    <row r="6" customFormat="false" ht="135.8" hidden="false" customHeight="false" outlineLevel="0" collapsed="false">
      <c r="A6" s="4" t="s">
        <v>31</v>
      </c>
      <c r="B6" s="4" t="s">
        <v>17</v>
      </c>
      <c r="C6" s="4" t="s">
        <v>22</v>
      </c>
      <c r="D6" s="4" t="s">
        <v>22</v>
      </c>
      <c r="E6" s="4" t="s">
        <v>32</v>
      </c>
      <c r="F6" s="4" t="s">
        <v>33</v>
      </c>
      <c r="G6" s="4" t="s">
        <v>22</v>
      </c>
      <c r="H6" s="4" t="s">
        <v>14</v>
      </c>
      <c r="I6" s="4" t="s">
        <v>34</v>
      </c>
    </row>
    <row r="7" customFormat="false" ht="122.35" hidden="false" customHeight="false" outlineLevel="0" collapsed="false">
      <c r="A7" s="4" t="s">
        <v>35</v>
      </c>
      <c r="B7" s="4" t="s">
        <v>17</v>
      </c>
      <c r="C7" s="4" t="s">
        <v>22</v>
      </c>
      <c r="D7" s="4" t="s">
        <v>22</v>
      </c>
      <c r="E7" s="4" t="s">
        <v>36</v>
      </c>
      <c r="F7" s="4" t="s">
        <v>37</v>
      </c>
      <c r="G7" s="4" t="s">
        <v>22</v>
      </c>
      <c r="H7" s="4" t="s">
        <v>14</v>
      </c>
      <c r="I7" s="4" t="s">
        <v>38</v>
      </c>
    </row>
    <row r="8" customFormat="false" ht="95.5" hidden="false" customHeight="false" outlineLevel="0" collapsed="false">
      <c r="A8" s="4" t="s">
        <v>39</v>
      </c>
      <c r="B8" s="4" t="s">
        <v>17</v>
      </c>
      <c r="C8" s="4" t="s">
        <v>21</v>
      </c>
      <c r="D8" s="4" t="s">
        <v>21</v>
      </c>
      <c r="E8" s="4" t="s">
        <v>40</v>
      </c>
      <c r="F8" s="4" t="s">
        <v>41</v>
      </c>
      <c r="G8" s="4" t="s">
        <v>21</v>
      </c>
      <c r="H8" s="4" t="s">
        <v>14</v>
      </c>
      <c r="I8" s="4" t="s">
        <v>42</v>
      </c>
    </row>
    <row r="9" customFormat="false" ht="95.5" hidden="false" customHeight="false" outlineLevel="0" collapsed="false">
      <c r="A9" s="4" t="s">
        <v>43</v>
      </c>
      <c r="B9" s="4" t="s">
        <v>17</v>
      </c>
      <c r="C9" s="4" t="s">
        <v>22</v>
      </c>
      <c r="D9" s="4" t="s">
        <v>22</v>
      </c>
      <c r="E9" s="4" t="s">
        <v>44</v>
      </c>
      <c r="F9" s="4" t="s">
        <v>45</v>
      </c>
      <c r="G9" s="4" t="s">
        <v>22</v>
      </c>
      <c r="H9" s="4" t="s">
        <v>14</v>
      </c>
      <c r="I9" s="4" t="s">
        <v>46</v>
      </c>
    </row>
    <row r="10" customFormat="false" ht="82.05" hidden="false" customHeight="false" outlineLevel="0" collapsed="false">
      <c r="A10" s="4" t="s">
        <v>47</v>
      </c>
      <c r="B10" s="4" t="s">
        <v>17</v>
      </c>
      <c r="C10" s="4" t="s">
        <v>22</v>
      </c>
      <c r="D10" s="4" t="s">
        <v>22</v>
      </c>
      <c r="E10" s="4" t="s">
        <v>48</v>
      </c>
      <c r="F10" s="4" t="s">
        <v>49</v>
      </c>
      <c r="G10" s="4" t="s">
        <v>22</v>
      </c>
      <c r="H10" s="4" t="s">
        <v>14</v>
      </c>
      <c r="I10" s="4" t="s">
        <v>50</v>
      </c>
    </row>
    <row r="11" customFormat="false" ht="82.05" hidden="false" customHeight="false" outlineLevel="0" collapsed="false">
      <c r="A11" s="4" t="s">
        <v>51</v>
      </c>
      <c r="B11" s="4" t="s">
        <v>17</v>
      </c>
      <c r="C11" s="4" t="s">
        <v>22</v>
      </c>
      <c r="D11" s="4" t="s">
        <v>22</v>
      </c>
      <c r="E11" s="4" t="s">
        <v>52</v>
      </c>
      <c r="F11" s="4" t="s">
        <v>53</v>
      </c>
      <c r="G11" s="4" t="s">
        <v>22</v>
      </c>
      <c r="H11" s="4" t="s">
        <v>14</v>
      </c>
      <c r="I11" s="4" t="s">
        <v>54</v>
      </c>
    </row>
    <row r="12" customFormat="false" ht="135.8" hidden="false" customHeight="false" outlineLevel="0" collapsed="false">
      <c r="A12" s="4" t="s">
        <v>55</v>
      </c>
      <c r="B12" s="4" t="s">
        <v>56</v>
      </c>
      <c r="C12" s="4" t="s">
        <v>11</v>
      </c>
      <c r="D12" s="4" t="s">
        <v>11</v>
      </c>
      <c r="E12" s="4" t="s">
        <v>12</v>
      </c>
      <c r="F12" s="4" t="s">
        <v>57</v>
      </c>
      <c r="G12" s="4" t="s">
        <v>11</v>
      </c>
      <c r="H12" s="4" t="s">
        <v>14</v>
      </c>
      <c r="I12" s="4" t="s">
        <v>15</v>
      </c>
    </row>
    <row r="13" customFormat="false" ht="95.5" hidden="false" customHeight="false" outlineLevel="0" collapsed="false">
      <c r="A13" s="4" t="s">
        <v>58</v>
      </c>
      <c r="B13" s="4" t="s">
        <v>56</v>
      </c>
      <c r="C13" s="4" t="s">
        <v>21</v>
      </c>
      <c r="D13" s="4" t="s">
        <v>21</v>
      </c>
      <c r="E13" s="4" t="s">
        <v>59</v>
      </c>
      <c r="F13" s="4" t="s">
        <v>60</v>
      </c>
      <c r="G13" s="4" t="s">
        <v>21</v>
      </c>
      <c r="H13" s="4" t="s">
        <v>14</v>
      </c>
      <c r="I13" s="4" t="s">
        <v>61</v>
      </c>
    </row>
    <row r="14" customFormat="false" ht="95.5" hidden="false" customHeight="false" outlineLevel="0" collapsed="false">
      <c r="A14" s="4" t="s">
        <v>62</v>
      </c>
      <c r="B14" s="4" t="s">
        <v>56</v>
      </c>
      <c r="C14" s="4" t="s">
        <v>21</v>
      </c>
      <c r="D14" s="4" t="s">
        <v>21</v>
      </c>
      <c r="E14" s="4" t="s">
        <v>63</v>
      </c>
      <c r="F14" s="4" t="s">
        <v>64</v>
      </c>
      <c r="G14" s="4" t="s">
        <v>21</v>
      </c>
      <c r="H14" s="4" t="s">
        <v>14</v>
      </c>
      <c r="I14" s="4" t="s">
        <v>65</v>
      </c>
    </row>
    <row r="15" customFormat="false" ht="122.35" hidden="false" customHeight="false" outlineLevel="0" collapsed="false">
      <c r="A15" s="5" t="s">
        <v>66</v>
      </c>
      <c r="B15" s="5" t="s">
        <v>56</v>
      </c>
      <c r="C15" s="5" t="s">
        <v>21</v>
      </c>
      <c r="D15" s="5" t="s">
        <v>22</v>
      </c>
      <c r="E15" s="5" t="s">
        <v>67</v>
      </c>
      <c r="F15" s="5" t="s">
        <v>68</v>
      </c>
      <c r="G15" s="5" t="s">
        <v>21</v>
      </c>
      <c r="H15" s="5" t="s">
        <v>69</v>
      </c>
      <c r="I15" s="5" t="s">
        <v>70</v>
      </c>
    </row>
    <row r="16" customFormat="false" ht="122.35" hidden="false" customHeight="false" outlineLevel="0" collapsed="false">
      <c r="A16" s="4" t="s">
        <v>71</v>
      </c>
      <c r="B16" s="4" t="s">
        <v>56</v>
      </c>
      <c r="C16" s="4" t="s">
        <v>21</v>
      </c>
      <c r="D16" s="4" t="s">
        <v>21</v>
      </c>
      <c r="E16" s="4" t="s">
        <v>28</v>
      </c>
      <c r="F16" s="4" t="s">
        <v>72</v>
      </c>
      <c r="G16" s="4" t="s">
        <v>21</v>
      </c>
      <c r="H16" s="4" t="s">
        <v>14</v>
      </c>
      <c r="I16" s="4" t="s">
        <v>30</v>
      </c>
    </row>
    <row r="17" customFormat="false" ht="82.05" hidden="false" customHeight="false" outlineLevel="0" collapsed="false">
      <c r="A17" s="4" t="s">
        <v>73</v>
      </c>
      <c r="B17" s="4" t="s">
        <v>56</v>
      </c>
      <c r="C17" s="4" t="s">
        <v>21</v>
      </c>
      <c r="D17" s="4" t="s">
        <v>21</v>
      </c>
      <c r="E17" s="4" t="s">
        <v>74</v>
      </c>
      <c r="F17" s="4" t="s">
        <v>75</v>
      </c>
      <c r="G17" s="4" t="s">
        <v>21</v>
      </c>
      <c r="H17" s="4" t="s">
        <v>14</v>
      </c>
      <c r="I17" s="4" t="s">
        <v>76</v>
      </c>
    </row>
    <row r="18" customFormat="false" ht="135.8" hidden="false" customHeight="false" outlineLevel="0" collapsed="false">
      <c r="A18" s="4" t="s">
        <v>77</v>
      </c>
      <c r="B18" s="4" t="s">
        <v>56</v>
      </c>
      <c r="C18" s="4" t="s">
        <v>22</v>
      </c>
      <c r="D18" s="4" t="s">
        <v>22</v>
      </c>
      <c r="E18" s="4" t="s">
        <v>32</v>
      </c>
      <c r="F18" s="4" t="s">
        <v>78</v>
      </c>
      <c r="G18" s="4" t="s">
        <v>22</v>
      </c>
      <c r="H18" s="4" t="s">
        <v>14</v>
      </c>
      <c r="I18" s="4" t="s">
        <v>34</v>
      </c>
    </row>
    <row r="19" customFormat="false" ht="122.35" hidden="false" customHeight="false" outlineLevel="0" collapsed="false">
      <c r="A19" s="4" t="s">
        <v>79</v>
      </c>
      <c r="B19" s="4" t="s">
        <v>56</v>
      </c>
      <c r="C19" s="4" t="s">
        <v>22</v>
      </c>
      <c r="D19" s="4" t="s">
        <v>22</v>
      </c>
      <c r="E19" s="4" t="s">
        <v>36</v>
      </c>
      <c r="F19" s="4" t="s">
        <v>80</v>
      </c>
      <c r="G19" s="4" t="s">
        <v>22</v>
      </c>
      <c r="H19" s="4" t="s">
        <v>14</v>
      </c>
      <c r="I19" s="4" t="s">
        <v>38</v>
      </c>
    </row>
    <row r="20" customFormat="false" ht="95.5" hidden="false" customHeight="false" outlineLevel="0" collapsed="false">
      <c r="A20" s="4" t="s">
        <v>81</v>
      </c>
      <c r="B20" s="4" t="s">
        <v>56</v>
      </c>
      <c r="C20" s="4" t="s">
        <v>21</v>
      </c>
      <c r="D20" s="4" t="s">
        <v>21</v>
      </c>
      <c r="E20" s="4" t="s">
        <v>40</v>
      </c>
      <c r="F20" s="4" t="s">
        <v>82</v>
      </c>
      <c r="G20" s="4" t="s">
        <v>21</v>
      </c>
      <c r="H20" s="4" t="s">
        <v>14</v>
      </c>
      <c r="I20" s="4" t="s">
        <v>42</v>
      </c>
    </row>
    <row r="21" customFormat="false" ht="108.95" hidden="false" customHeight="false" outlineLevel="0" collapsed="false">
      <c r="A21" s="5" t="s">
        <v>83</v>
      </c>
      <c r="B21" s="5" t="s">
        <v>56</v>
      </c>
      <c r="C21" s="5" t="s">
        <v>21</v>
      </c>
      <c r="D21" s="5" t="s">
        <v>22</v>
      </c>
      <c r="E21" s="5" t="s">
        <v>84</v>
      </c>
      <c r="F21" s="5" t="s">
        <v>85</v>
      </c>
      <c r="G21" s="5" t="s">
        <v>21</v>
      </c>
      <c r="H21" s="5" t="s">
        <v>86</v>
      </c>
      <c r="I21" s="5" t="s">
        <v>87</v>
      </c>
    </row>
    <row r="22" customFormat="false" ht="82.05" hidden="false" customHeight="false" outlineLevel="0" collapsed="false">
      <c r="A22" s="4" t="s">
        <v>88</v>
      </c>
      <c r="B22" s="4" t="s">
        <v>56</v>
      </c>
      <c r="C22" s="4" t="s">
        <v>22</v>
      </c>
      <c r="D22" s="4" t="s">
        <v>22</v>
      </c>
      <c r="E22" s="4" t="s">
        <v>52</v>
      </c>
      <c r="F22" s="4" t="s">
        <v>89</v>
      </c>
      <c r="G22" s="4" t="s">
        <v>22</v>
      </c>
      <c r="H22" s="4" t="s">
        <v>14</v>
      </c>
      <c r="I22" s="4" t="s">
        <v>54</v>
      </c>
    </row>
    <row r="23" customFormat="false" ht="95.5" hidden="false" customHeight="false" outlineLevel="0" collapsed="false">
      <c r="A23" s="4" t="s">
        <v>90</v>
      </c>
      <c r="B23" s="4" t="s">
        <v>91</v>
      </c>
      <c r="C23" s="4" t="s">
        <v>11</v>
      </c>
      <c r="D23" s="4" t="s">
        <v>11</v>
      </c>
      <c r="E23" s="4" t="s">
        <v>18</v>
      </c>
      <c r="F23" s="4" t="s">
        <v>92</v>
      </c>
      <c r="G23" s="4" t="s">
        <v>11</v>
      </c>
      <c r="H23" s="4" t="s">
        <v>14</v>
      </c>
      <c r="I23" s="4" t="s">
        <v>15</v>
      </c>
    </row>
    <row r="24" customFormat="false" ht="95.5" hidden="false" customHeight="false" outlineLevel="0" collapsed="false">
      <c r="A24" s="4" t="s">
        <v>93</v>
      </c>
      <c r="B24" s="4" t="s">
        <v>91</v>
      </c>
      <c r="C24" s="4" t="s">
        <v>21</v>
      </c>
      <c r="D24" s="4" t="s">
        <v>21</v>
      </c>
      <c r="E24" s="4" t="s">
        <v>59</v>
      </c>
      <c r="F24" s="4" t="s">
        <v>94</v>
      </c>
      <c r="G24" s="4" t="s">
        <v>21</v>
      </c>
      <c r="H24" s="4" t="s">
        <v>14</v>
      </c>
      <c r="I24" s="4" t="s">
        <v>61</v>
      </c>
    </row>
    <row r="25" customFormat="false" ht="95.5" hidden="false" customHeight="false" outlineLevel="0" collapsed="false">
      <c r="A25" s="4" t="s">
        <v>95</v>
      </c>
      <c r="B25" s="4" t="s">
        <v>91</v>
      </c>
      <c r="C25" s="4" t="s">
        <v>21</v>
      </c>
      <c r="D25" s="4" t="s">
        <v>21</v>
      </c>
      <c r="E25" s="4" t="s">
        <v>63</v>
      </c>
      <c r="F25" s="4" t="s">
        <v>96</v>
      </c>
      <c r="G25" s="4" t="s">
        <v>21</v>
      </c>
      <c r="H25" s="4" t="s">
        <v>14</v>
      </c>
      <c r="I25" s="4" t="s">
        <v>65</v>
      </c>
    </row>
    <row r="26" customFormat="false" ht="82.05" hidden="false" customHeight="false" outlineLevel="0" collapsed="false">
      <c r="A26" s="4" t="s">
        <v>97</v>
      </c>
      <c r="B26" s="4" t="s">
        <v>91</v>
      </c>
      <c r="C26" s="4" t="s">
        <v>21</v>
      </c>
      <c r="D26" s="4" t="s">
        <v>21</v>
      </c>
      <c r="E26" s="4" t="s">
        <v>98</v>
      </c>
      <c r="F26" s="4" t="s">
        <v>99</v>
      </c>
      <c r="G26" s="4" t="s">
        <v>21</v>
      </c>
      <c r="H26" s="4" t="s">
        <v>14</v>
      </c>
      <c r="I26" s="4" t="s">
        <v>100</v>
      </c>
    </row>
    <row r="27" customFormat="false" ht="122.35" hidden="false" customHeight="false" outlineLevel="0" collapsed="false">
      <c r="A27" s="5" t="s">
        <v>101</v>
      </c>
      <c r="B27" s="5" t="s">
        <v>91</v>
      </c>
      <c r="C27" s="5" t="s">
        <v>21</v>
      </c>
      <c r="D27" s="5" t="s">
        <v>22</v>
      </c>
      <c r="E27" s="5" t="s">
        <v>67</v>
      </c>
      <c r="F27" s="5" t="s">
        <v>102</v>
      </c>
      <c r="G27" s="5" t="s">
        <v>21</v>
      </c>
      <c r="H27" s="5" t="s">
        <v>69</v>
      </c>
      <c r="I27" s="5" t="s">
        <v>70</v>
      </c>
    </row>
    <row r="28" customFormat="false" ht="122.35" hidden="false" customHeight="false" outlineLevel="0" collapsed="false">
      <c r="A28" s="4" t="s">
        <v>103</v>
      </c>
      <c r="B28" s="4" t="s">
        <v>91</v>
      </c>
      <c r="C28" s="4" t="s">
        <v>21</v>
      </c>
      <c r="D28" s="4" t="s">
        <v>21</v>
      </c>
      <c r="E28" s="4" t="s">
        <v>28</v>
      </c>
      <c r="F28" s="4" t="s">
        <v>72</v>
      </c>
      <c r="G28" s="4" t="s">
        <v>21</v>
      </c>
      <c r="H28" s="4" t="s">
        <v>14</v>
      </c>
      <c r="I28" s="4" t="s">
        <v>30</v>
      </c>
    </row>
    <row r="29" customFormat="false" ht="82.05" hidden="false" customHeight="false" outlineLevel="0" collapsed="false">
      <c r="A29" s="4" t="s">
        <v>104</v>
      </c>
      <c r="B29" s="4" t="s">
        <v>91</v>
      </c>
      <c r="C29" s="4" t="s">
        <v>21</v>
      </c>
      <c r="D29" s="4" t="s">
        <v>21</v>
      </c>
      <c r="E29" s="4" t="s">
        <v>74</v>
      </c>
      <c r="F29" s="4" t="s">
        <v>105</v>
      </c>
      <c r="G29" s="4" t="s">
        <v>21</v>
      </c>
      <c r="H29" s="4" t="s">
        <v>14</v>
      </c>
      <c r="I29" s="4" t="s">
        <v>76</v>
      </c>
    </row>
    <row r="30" customFormat="false" ht="135.8" hidden="false" customHeight="false" outlineLevel="0" collapsed="false">
      <c r="A30" s="4" t="s">
        <v>106</v>
      </c>
      <c r="B30" s="4" t="s">
        <v>91</v>
      </c>
      <c r="C30" s="4" t="s">
        <v>22</v>
      </c>
      <c r="D30" s="4" t="s">
        <v>22</v>
      </c>
      <c r="E30" s="4" t="s">
        <v>32</v>
      </c>
      <c r="F30" s="4" t="s">
        <v>78</v>
      </c>
      <c r="G30" s="4" t="s">
        <v>22</v>
      </c>
      <c r="H30" s="4" t="s">
        <v>14</v>
      </c>
      <c r="I30" s="4" t="s">
        <v>34</v>
      </c>
    </row>
    <row r="31" customFormat="false" ht="122.35" hidden="false" customHeight="false" outlineLevel="0" collapsed="false">
      <c r="A31" s="4" t="s">
        <v>107</v>
      </c>
      <c r="B31" s="4" t="s">
        <v>91</v>
      </c>
      <c r="C31" s="4" t="s">
        <v>22</v>
      </c>
      <c r="D31" s="4" t="s">
        <v>22</v>
      </c>
      <c r="E31" s="4" t="s">
        <v>36</v>
      </c>
      <c r="F31" s="4" t="s">
        <v>80</v>
      </c>
      <c r="G31" s="4" t="s">
        <v>22</v>
      </c>
      <c r="H31" s="4" t="s">
        <v>14</v>
      </c>
      <c r="I31" s="4" t="s">
        <v>38</v>
      </c>
    </row>
    <row r="32" customFormat="false" ht="95.5" hidden="false" customHeight="false" outlineLevel="0" collapsed="false">
      <c r="A32" s="4" t="s">
        <v>108</v>
      </c>
      <c r="B32" s="4" t="s">
        <v>91</v>
      </c>
      <c r="C32" s="4" t="s">
        <v>21</v>
      </c>
      <c r="D32" s="4" t="s">
        <v>21</v>
      </c>
      <c r="E32" s="4" t="s">
        <v>40</v>
      </c>
      <c r="F32" s="4" t="s">
        <v>82</v>
      </c>
      <c r="G32" s="4" t="s">
        <v>21</v>
      </c>
      <c r="H32" s="4" t="s">
        <v>14</v>
      </c>
      <c r="I32" s="4" t="s">
        <v>42</v>
      </c>
    </row>
    <row r="33" customFormat="false" ht="95.5" hidden="false" customHeight="false" outlineLevel="0" collapsed="false">
      <c r="A33" s="4" t="s">
        <v>109</v>
      </c>
      <c r="B33" s="4" t="s">
        <v>91</v>
      </c>
      <c r="C33" s="4" t="s">
        <v>22</v>
      </c>
      <c r="D33" s="4" t="s">
        <v>22</v>
      </c>
      <c r="E33" s="4" t="s">
        <v>110</v>
      </c>
      <c r="F33" s="4" t="s">
        <v>111</v>
      </c>
      <c r="G33" s="4" t="s">
        <v>22</v>
      </c>
      <c r="H33" s="4" t="s">
        <v>14</v>
      </c>
      <c r="I33" s="4" t="s">
        <v>112</v>
      </c>
    </row>
    <row r="34" customFormat="false" ht="108.95" hidden="false" customHeight="false" outlineLevel="0" collapsed="false">
      <c r="A34" s="5" t="s">
        <v>113</v>
      </c>
      <c r="B34" s="5" t="s">
        <v>91</v>
      </c>
      <c r="C34" s="5" t="s">
        <v>21</v>
      </c>
      <c r="D34" s="5" t="s">
        <v>22</v>
      </c>
      <c r="E34" s="5" t="s">
        <v>84</v>
      </c>
      <c r="F34" s="5" t="s">
        <v>114</v>
      </c>
      <c r="G34" s="5" t="s">
        <v>21</v>
      </c>
      <c r="H34" s="5" t="s">
        <v>86</v>
      </c>
      <c r="I34" s="5" t="s">
        <v>87</v>
      </c>
    </row>
    <row r="35" customFormat="false" ht="82.05" hidden="false" customHeight="false" outlineLevel="0" collapsed="false">
      <c r="A35" s="5" t="s">
        <v>115</v>
      </c>
      <c r="B35" s="5" t="s">
        <v>91</v>
      </c>
      <c r="C35" s="5" t="s">
        <v>21</v>
      </c>
      <c r="D35" s="5" t="s">
        <v>22</v>
      </c>
      <c r="E35" s="5" t="s">
        <v>116</v>
      </c>
      <c r="F35" s="5" t="s">
        <v>117</v>
      </c>
      <c r="G35" s="5" t="s">
        <v>22</v>
      </c>
      <c r="H35" s="5" t="s">
        <v>118</v>
      </c>
      <c r="I35" s="5" t="s">
        <v>119</v>
      </c>
    </row>
    <row r="36" customFormat="false" ht="82.05" hidden="false" customHeight="false" outlineLevel="0" collapsed="false">
      <c r="A36" s="4" t="s">
        <v>120</v>
      </c>
      <c r="B36" s="4" t="s">
        <v>91</v>
      </c>
      <c r="C36" s="4" t="s">
        <v>22</v>
      </c>
      <c r="D36" s="4" t="s">
        <v>22</v>
      </c>
      <c r="E36" s="4" t="s">
        <v>52</v>
      </c>
      <c r="F36" s="4" t="s">
        <v>89</v>
      </c>
      <c r="G36" s="4" t="s">
        <v>22</v>
      </c>
      <c r="H36" s="4" t="s">
        <v>14</v>
      </c>
      <c r="I36" s="4" t="s">
        <v>54</v>
      </c>
    </row>
    <row r="37" customFormat="false" ht="95.5" hidden="false" customHeight="false" outlineLevel="0" collapsed="false">
      <c r="A37" s="4" t="s">
        <v>121</v>
      </c>
      <c r="B37" s="4" t="s">
        <v>122</v>
      </c>
      <c r="C37" s="4" t="s">
        <v>21</v>
      </c>
      <c r="D37" s="4" t="s">
        <v>21</v>
      </c>
      <c r="E37" s="4" t="s">
        <v>123</v>
      </c>
      <c r="F37" s="4" t="s">
        <v>124</v>
      </c>
      <c r="G37" s="4" t="s">
        <v>21</v>
      </c>
      <c r="H37" s="4" t="s">
        <v>14</v>
      </c>
      <c r="I37" s="4" t="s">
        <v>125</v>
      </c>
    </row>
    <row r="38" customFormat="false" ht="95.5" hidden="false" customHeight="false" outlineLevel="0" collapsed="false">
      <c r="A38" s="4" t="s">
        <v>126</v>
      </c>
      <c r="B38" s="4" t="s">
        <v>122</v>
      </c>
      <c r="C38" s="4" t="s">
        <v>21</v>
      </c>
      <c r="D38" s="4" t="s">
        <v>21</v>
      </c>
      <c r="E38" s="4" t="s">
        <v>127</v>
      </c>
      <c r="F38" s="4" t="s">
        <v>128</v>
      </c>
      <c r="G38" s="4" t="s">
        <v>21</v>
      </c>
      <c r="H38" s="4" t="s">
        <v>14</v>
      </c>
      <c r="I38" s="4" t="s">
        <v>129</v>
      </c>
    </row>
    <row r="39" customFormat="false" ht="122.35" hidden="false" customHeight="false" outlineLevel="0" collapsed="false">
      <c r="A39" s="4" t="s">
        <v>130</v>
      </c>
      <c r="B39" s="4" t="s">
        <v>122</v>
      </c>
      <c r="C39" s="4" t="s">
        <v>11</v>
      </c>
      <c r="D39" s="4" t="s">
        <v>11</v>
      </c>
      <c r="E39" s="4" t="s">
        <v>131</v>
      </c>
      <c r="F39" s="4" t="s">
        <v>132</v>
      </c>
      <c r="G39" s="4" t="s">
        <v>11</v>
      </c>
      <c r="H39" s="4" t="s">
        <v>14</v>
      </c>
      <c r="I39" s="4" t="s">
        <v>133</v>
      </c>
    </row>
    <row r="40" customFormat="false" ht="95.5" hidden="false" customHeight="false" outlineLevel="0" collapsed="false">
      <c r="A40" s="4" t="s">
        <v>134</v>
      </c>
      <c r="B40" s="4" t="s">
        <v>122</v>
      </c>
      <c r="C40" s="4" t="s">
        <v>21</v>
      </c>
      <c r="D40" s="4" t="s">
        <v>21</v>
      </c>
      <c r="E40" s="4" t="s">
        <v>135</v>
      </c>
      <c r="F40" s="4" t="s">
        <v>136</v>
      </c>
      <c r="G40" s="4" t="s">
        <v>21</v>
      </c>
      <c r="H40" s="4" t="s">
        <v>14</v>
      </c>
      <c r="I40" s="4" t="s">
        <v>137</v>
      </c>
    </row>
    <row r="41" customFormat="false" ht="68.65" hidden="false" customHeight="false" outlineLevel="0" collapsed="false">
      <c r="A41" s="4" t="s">
        <v>138</v>
      </c>
      <c r="B41" s="4" t="s">
        <v>122</v>
      </c>
      <c r="C41" s="4" t="s">
        <v>22</v>
      </c>
      <c r="D41" s="4" t="s">
        <v>22</v>
      </c>
      <c r="E41" s="4" t="s">
        <v>139</v>
      </c>
      <c r="F41" s="4" t="s">
        <v>140</v>
      </c>
      <c r="G41" s="4" t="s">
        <v>22</v>
      </c>
      <c r="H41" s="4" t="s">
        <v>14</v>
      </c>
      <c r="I41" s="4" t="s">
        <v>141</v>
      </c>
    </row>
    <row r="42" customFormat="false" ht="108.95" hidden="false" customHeight="false" outlineLevel="0" collapsed="false">
      <c r="A42" s="4" t="s">
        <v>142</v>
      </c>
      <c r="B42" s="4" t="s">
        <v>122</v>
      </c>
      <c r="C42" s="4" t="s">
        <v>21</v>
      </c>
      <c r="D42" s="4" t="s">
        <v>21</v>
      </c>
      <c r="E42" s="4" t="s">
        <v>143</v>
      </c>
      <c r="F42" s="4" t="s">
        <v>144</v>
      </c>
      <c r="G42" s="4" t="s">
        <v>21</v>
      </c>
      <c r="H42" s="4" t="s">
        <v>14</v>
      </c>
      <c r="I42" s="4" t="s">
        <v>145</v>
      </c>
    </row>
    <row r="43" customFormat="false" ht="95.5" hidden="false" customHeight="false" outlineLevel="0" collapsed="false">
      <c r="A43" s="4" t="s">
        <v>146</v>
      </c>
      <c r="B43" s="4" t="s">
        <v>147</v>
      </c>
      <c r="C43" s="4" t="s">
        <v>21</v>
      </c>
      <c r="D43" s="4" t="s">
        <v>21</v>
      </c>
      <c r="E43" s="4" t="s">
        <v>127</v>
      </c>
      <c r="F43" s="4" t="s">
        <v>148</v>
      </c>
      <c r="G43" s="4" t="s">
        <v>21</v>
      </c>
      <c r="H43" s="4" t="s">
        <v>14</v>
      </c>
      <c r="I43" s="4" t="s">
        <v>129</v>
      </c>
    </row>
    <row r="44" customFormat="false" ht="108.95" hidden="false" customHeight="false" outlineLevel="0" collapsed="false">
      <c r="A44" s="4" t="s">
        <v>149</v>
      </c>
      <c r="B44" s="4" t="s">
        <v>147</v>
      </c>
      <c r="C44" s="4" t="s">
        <v>21</v>
      </c>
      <c r="D44" s="4" t="s">
        <v>21</v>
      </c>
      <c r="E44" s="4" t="s">
        <v>143</v>
      </c>
      <c r="F44" s="4" t="s">
        <v>150</v>
      </c>
      <c r="G44" s="4" t="s">
        <v>21</v>
      </c>
      <c r="H44" s="4" t="s">
        <v>14</v>
      </c>
      <c r="I44" s="4" t="s">
        <v>145</v>
      </c>
    </row>
    <row r="45" customFormat="false" ht="82.05" hidden="false" customHeight="false" outlineLevel="0" collapsed="false">
      <c r="A45" s="4" t="s">
        <v>151</v>
      </c>
      <c r="B45" s="4" t="s">
        <v>147</v>
      </c>
      <c r="C45" s="4" t="s">
        <v>22</v>
      </c>
      <c r="D45" s="4" t="s">
        <v>22</v>
      </c>
      <c r="E45" s="4" t="s">
        <v>152</v>
      </c>
      <c r="F45" s="4" t="s">
        <v>153</v>
      </c>
      <c r="G45" s="4" t="s">
        <v>22</v>
      </c>
      <c r="H45" s="4" t="s">
        <v>14</v>
      </c>
      <c r="I45" s="4" t="s">
        <v>154</v>
      </c>
    </row>
    <row r="46" customFormat="false" ht="82.05" hidden="false" customHeight="false" outlineLevel="0" collapsed="false">
      <c r="A46" s="4" t="s">
        <v>155</v>
      </c>
      <c r="B46" s="4" t="s">
        <v>156</v>
      </c>
      <c r="C46" s="4" t="s">
        <v>21</v>
      </c>
      <c r="D46" s="4" t="s">
        <v>21</v>
      </c>
      <c r="E46" s="4" t="s">
        <v>98</v>
      </c>
      <c r="F46" s="4" t="s">
        <v>157</v>
      </c>
      <c r="G46" s="4" t="s">
        <v>21</v>
      </c>
      <c r="H46" s="4" t="s">
        <v>14</v>
      </c>
      <c r="I46" s="4" t="s">
        <v>100</v>
      </c>
    </row>
    <row r="47" customFormat="false" ht="122.35" hidden="false" customHeight="false" outlineLevel="0" collapsed="false">
      <c r="A47" s="4" t="s">
        <v>158</v>
      </c>
      <c r="B47" s="4" t="s">
        <v>156</v>
      </c>
      <c r="C47" s="4" t="s">
        <v>21</v>
      </c>
      <c r="D47" s="4" t="s">
        <v>21</v>
      </c>
      <c r="E47" s="4" t="s">
        <v>159</v>
      </c>
      <c r="F47" s="4" t="s">
        <v>160</v>
      </c>
      <c r="G47" s="4" t="s">
        <v>21</v>
      </c>
      <c r="H47" s="4" t="s">
        <v>14</v>
      </c>
      <c r="I47" s="4" t="s">
        <v>161</v>
      </c>
    </row>
    <row r="48" customFormat="false" ht="82.05" hidden="false" customHeight="false" outlineLevel="0" collapsed="false">
      <c r="A48" s="5" t="s">
        <v>162</v>
      </c>
      <c r="B48" s="5" t="s">
        <v>156</v>
      </c>
      <c r="C48" s="5" t="s">
        <v>21</v>
      </c>
      <c r="D48" s="5" t="s">
        <v>22</v>
      </c>
      <c r="E48" s="5" t="s">
        <v>116</v>
      </c>
      <c r="F48" s="5" t="s">
        <v>163</v>
      </c>
      <c r="G48" s="5" t="s">
        <v>22</v>
      </c>
      <c r="H48" s="5" t="s">
        <v>118</v>
      </c>
      <c r="I48" s="5" t="s">
        <v>119</v>
      </c>
    </row>
    <row r="49" customFormat="false" ht="122.35" hidden="false" customHeight="false" outlineLevel="0" collapsed="false">
      <c r="A49" s="5" t="s">
        <v>164</v>
      </c>
      <c r="B49" s="5" t="s">
        <v>165</v>
      </c>
      <c r="C49" s="5" t="s">
        <v>21</v>
      </c>
      <c r="D49" s="5" t="s">
        <v>22</v>
      </c>
      <c r="E49" s="5" t="s">
        <v>166</v>
      </c>
      <c r="F49" s="5" t="s">
        <v>167</v>
      </c>
      <c r="G49" s="5" t="s">
        <v>22</v>
      </c>
      <c r="H49" s="5" t="s">
        <v>168</v>
      </c>
      <c r="I49" s="5" t="s">
        <v>169</v>
      </c>
    </row>
    <row r="50" customFormat="false" ht="122.35" hidden="false" customHeight="false" outlineLevel="0" collapsed="false">
      <c r="A50" s="4" t="s">
        <v>170</v>
      </c>
      <c r="B50" s="4" t="s">
        <v>165</v>
      </c>
      <c r="C50" s="4" t="s">
        <v>11</v>
      </c>
      <c r="D50" s="4" t="s">
        <v>11</v>
      </c>
      <c r="E50" s="4" t="s">
        <v>131</v>
      </c>
      <c r="F50" s="4" t="s">
        <v>171</v>
      </c>
      <c r="G50" s="4" t="s">
        <v>11</v>
      </c>
      <c r="H50" s="4" t="s">
        <v>14</v>
      </c>
      <c r="I50" s="4" t="s">
        <v>133</v>
      </c>
    </row>
    <row r="51" customFormat="false" ht="95.5" hidden="false" customHeight="false" outlineLevel="0" collapsed="false">
      <c r="A51" s="4" t="s">
        <v>172</v>
      </c>
      <c r="B51" s="4" t="s">
        <v>165</v>
      </c>
      <c r="C51" s="4" t="s">
        <v>11</v>
      </c>
      <c r="D51" s="4" t="s">
        <v>11</v>
      </c>
      <c r="E51" s="4" t="s">
        <v>173</v>
      </c>
      <c r="F51" s="4" t="s">
        <v>174</v>
      </c>
      <c r="G51" s="4" t="s">
        <v>11</v>
      </c>
      <c r="H51" s="4" t="s">
        <v>14</v>
      </c>
      <c r="I51" s="4" t="s">
        <v>175</v>
      </c>
    </row>
    <row r="52" customFormat="false" ht="68.65" hidden="false" customHeight="false" outlineLevel="0" collapsed="false">
      <c r="A52" s="4" t="s">
        <v>176</v>
      </c>
      <c r="B52" s="4" t="s">
        <v>165</v>
      </c>
      <c r="C52" s="4" t="s">
        <v>22</v>
      </c>
      <c r="D52" s="4" t="s">
        <v>22</v>
      </c>
      <c r="E52" s="4" t="s">
        <v>139</v>
      </c>
      <c r="F52" s="4" t="s">
        <v>177</v>
      </c>
      <c r="G52" s="4" t="s">
        <v>22</v>
      </c>
      <c r="H52" s="4" t="s">
        <v>14</v>
      </c>
      <c r="I52" s="4" t="s">
        <v>141</v>
      </c>
    </row>
  </sheetData>
  <autoFilter ref="A1:I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1.3"/>
    <col collapsed="false" customWidth="true" hidden="false" outlineLevel="0" max="2" min="2" style="1" width="22"/>
    <col collapsed="false" customWidth="true" hidden="false" outlineLevel="0" max="3" min="3" style="1" width="12.4"/>
    <col collapsed="false" customWidth="true" hidden="false" outlineLevel="0" max="4" min="4" style="1" width="32"/>
    <col collapsed="false" customWidth="true" hidden="false" outlineLevel="0" max="5" min="5" style="1" width="15"/>
  </cols>
  <sheetData>
    <row r="1" customFormat="false" ht="45" hidden="false" customHeight="true" outlineLevel="0" collapsed="false">
      <c r="A1" s="7" t="s">
        <v>178</v>
      </c>
      <c r="B1" s="8"/>
      <c r="C1" s="8"/>
      <c r="D1" s="8"/>
      <c r="E1" s="8"/>
    </row>
    <row r="2" s="10" customFormat="true" ht="27.75" hidden="false" customHeight="true" outlineLevel="0" collapsed="false">
      <c r="A2" s="9" t="s">
        <v>1</v>
      </c>
      <c r="B2" s="9" t="s">
        <v>11</v>
      </c>
      <c r="C2" s="9" t="s">
        <v>21</v>
      </c>
      <c r="D2" s="9" t="s">
        <v>22</v>
      </c>
      <c r="E2" s="9" t="s">
        <v>179</v>
      </c>
    </row>
    <row r="3" customFormat="false" ht="15" hidden="false" customHeight="true" outlineLevel="0" collapsed="false">
      <c r="A3" s="11" t="s">
        <v>10</v>
      </c>
      <c r="B3" s="8" t="n">
        <f aca="true">COUNTIFS(INDIRECT("Consensus!$B$2:$B$52"),$A3,INDIRECT("Consensus!$G$2:$G$52"),B$2)</f>
        <v>1</v>
      </c>
      <c r="C3" s="8" t="n">
        <f aca="true">COUNTIFS(INDIRECT("Consensus!$B$2:$B$52"),$A3,INDIRECT("Consensus!$G$2:$G$52"),C$2)</f>
        <v>0</v>
      </c>
      <c r="D3" s="8" t="n">
        <f aca="true">COUNTIFS(INDIRECT("Consensus!$B$2:$B$52"),$A3,INDIRECT("Consensus!$G$2:$G$52"),D$2)</f>
        <v>0</v>
      </c>
      <c r="E3" s="8" t="n">
        <f aca="false">SUM(B3:D3)</f>
        <v>1</v>
      </c>
    </row>
    <row r="4" customFormat="false" ht="15" hidden="false" customHeight="true" outlineLevel="0" collapsed="false">
      <c r="A4" s="11" t="s">
        <v>122</v>
      </c>
      <c r="B4" s="8" t="n">
        <f aca="true">COUNTIFS(INDIRECT("Consensus!$B$2:$B$52"),$A4,INDIRECT("Consensus!$G$2:$G$52"),B$2)</f>
        <v>1</v>
      </c>
      <c r="C4" s="8" t="n">
        <f aca="true">COUNTIFS(INDIRECT("Consensus!$B$2:$B$52"),$A4,INDIRECT("Consensus!$G$2:$G$52"),C$2)</f>
        <v>4</v>
      </c>
      <c r="D4" s="8" t="n">
        <f aca="true">COUNTIFS(INDIRECT("Consensus!$B$2:$B$52"),$A4,INDIRECT("Consensus!$G$2:$G$52"),D$2)</f>
        <v>1</v>
      </c>
      <c r="E4" s="8" t="n">
        <f aca="false">SUM(B4:D4)</f>
        <v>6</v>
      </c>
    </row>
    <row r="5" customFormat="false" ht="15" hidden="false" customHeight="true" outlineLevel="0" collapsed="false">
      <c r="A5" s="11" t="s">
        <v>17</v>
      </c>
      <c r="B5" s="8" t="n">
        <f aca="true">COUNTIFS(INDIRECT("Consensus!$B$2:$B$52"),$A5,INDIRECT("Consensus!$G$2:$G$52"),B$2)</f>
        <v>1</v>
      </c>
      <c r="C5" s="8" t="n">
        <f aca="true">COUNTIFS(INDIRECT("Consensus!$B$2:$B$52"),$A5,INDIRECT("Consensus!$G$2:$G$52"),C$2)</f>
        <v>2</v>
      </c>
      <c r="D5" s="8" t="n">
        <f aca="true">COUNTIFS(INDIRECT("Consensus!$B$2:$B$52"),$A5,INDIRECT("Consensus!$G$2:$G$52"),D$2)</f>
        <v>6</v>
      </c>
      <c r="E5" s="8" t="n">
        <f aca="false">SUM(B5:D5)</f>
        <v>9</v>
      </c>
    </row>
    <row r="6" customFormat="false" ht="15" hidden="false" customHeight="true" outlineLevel="0" collapsed="false">
      <c r="A6" s="11" t="s">
        <v>56</v>
      </c>
      <c r="B6" s="8" t="n">
        <f aca="true">COUNTIFS(INDIRECT("Consensus!$B$2:$B$52"),$A6,INDIRECT("Consensus!$G$2:$G$52"),B$2)</f>
        <v>1</v>
      </c>
      <c r="C6" s="8" t="n">
        <f aca="true">COUNTIFS(INDIRECT("Consensus!$B$2:$B$52"),$A6,INDIRECT("Consensus!$G$2:$G$52"),C$2)</f>
        <v>7</v>
      </c>
      <c r="D6" s="8" t="n">
        <f aca="true">COUNTIFS(INDIRECT("Consensus!$B$2:$B$52"),$A6,INDIRECT("Consensus!$G$2:$G$52"),D$2)</f>
        <v>3</v>
      </c>
      <c r="E6" s="8" t="n">
        <f aca="false">SUM(B6:D6)</f>
        <v>11</v>
      </c>
    </row>
    <row r="7" customFormat="false" ht="15" hidden="false" customHeight="true" outlineLevel="0" collapsed="false">
      <c r="A7" s="11" t="s">
        <v>91</v>
      </c>
      <c r="B7" s="8" t="n">
        <f aca="true">COUNTIFS(INDIRECT("Consensus!$B$2:$B$52"),$A7,INDIRECT("Consensus!$G$2:$G$52"),B$2)</f>
        <v>1</v>
      </c>
      <c r="C7" s="8" t="n">
        <f aca="true">COUNTIFS(INDIRECT("Consensus!$B$2:$B$52"),$A7,INDIRECT("Consensus!$G$2:$G$52"),C$2)</f>
        <v>8</v>
      </c>
      <c r="D7" s="8" t="n">
        <f aca="true">COUNTIFS(INDIRECT("Consensus!$B$2:$B$52"),$A7,INDIRECT("Consensus!$G$2:$G$52"),D$2)</f>
        <v>5</v>
      </c>
      <c r="E7" s="8" t="n">
        <f aca="false">SUM(B7:D7)</f>
        <v>14</v>
      </c>
    </row>
    <row r="8" customFormat="false" ht="15" hidden="false" customHeight="true" outlineLevel="0" collapsed="false">
      <c r="A8" s="11" t="s">
        <v>147</v>
      </c>
      <c r="B8" s="8" t="n">
        <f aca="true">COUNTIFS(INDIRECT("Consensus!$B$2:$B$52"),$A8,INDIRECT("Consensus!$G$2:$G$52"),B$2)</f>
        <v>0</v>
      </c>
      <c r="C8" s="8" t="n">
        <f aca="true">COUNTIFS(INDIRECT("Consensus!$B$2:$B$52"),$A8,INDIRECT("Consensus!$G$2:$G$52"),C$2)</f>
        <v>2</v>
      </c>
      <c r="D8" s="8" t="n">
        <f aca="true">COUNTIFS(INDIRECT("Consensus!$B$2:$B$52"),$A8,INDIRECT("Consensus!$G$2:$G$52"),D$2)</f>
        <v>1</v>
      </c>
      <c r="E8" s="8" t="n">
        <f aca="false">SUM(B8:D8)</f>
        <v>3</v>
      </c>
    </row>
    <row r="9" customFormat="false" ht="15" hidden="false" customHeight="true" outlineLevel="0" collapsed="false">
      <c r="A9" s="11" t="s">
        <v>156</v>
      </c>
      <c r="B9" s="8" t="n">
        <f aca="true">COUNTIFS(INDIRECT("Consensus!$B$2:$B$52"),$A9,INDIRECT("Consensus!$G$2:$G$52"),B$2)</f>
        <v>0</v>
      </c>
      <c r="C9" s="8" t="n">
        <f aca="true">COUNTIFS(INDIRECT("Consensus!$B$2:$B$52"),$A9,INDIRECT("Consensus!$G$2:$G$52"),C$2)</f>
        <v>2</v>
      </c>
      <c r="D9" s="8" t="n">
        <f aca="true">COUNTIFS(INDIRECT("Consensus!$B$2:$B$52"),$A9,INDIRECT("Consensus!$G$2:$G$52"),D$2)</f>
        <v>1</v>
      </c>
      <c r="E9" s="8" t="n">
        <f aca="false">SUM(B9:D9)</f>
        <v>3</v>
      </c>
    </row>
    <row r="10" customFormat="false" ht="15" hidden="false" customHeight="true" outlineLevel="0" collapsed="false">
      <c r="A10" s="11" t="s">
        <v>165</v>
      </c>
      <c r="B10" s="8" t="n">
        <f aca="true">COUNTIFS(INDIRECT("Consensus!$B$2:$B$52"),$A10,INDIRECT("Consensus!$G$2:$G$52"),B$2)</f>
        <v>2</v>
      </c>
      <c r="C10" s="8" t="n">
        <f aca="true">COUNTIFS(INDIRECT("Consensus!$B$2:$B$52"),$A10,INDIRECT("Consensus!$G$2:$G$52"),C$2)</f>
        <v>0</v>
      </c>
      <c r="D10" s="8" t="n">
        <f aca="true">COUNTIFS(INDIRECT("Consensus!$B$2:$B$52"),$A10,INDIRECT("Consensus!$G$2:$G$52"),D$2)</f>
        <v>2</v>
      </c>
      <c r="E10" s="8" t="n">
        <f aca="false">SUM(B10:D10)</f>
        <v>4</v>
      </c>
    </row>
    <row r="11" customFormat="false" ht="15" hidden="false" customHeight="true" outlineLevel="0" collapsed="false">
      <c r="A11" s="11" t="s">
        <v>179</v>
      </c>
      <c r="B11" s="8" t="n">
        <f aca="false">SUM(B3:B10)</f>
        <v>7</v>
      </c>
      <c r="C11" s="8" t="n">
        <f aca="false">SUM(C3:C10)</f>
        <v>25</v>
      </c>
      <c r="D11" s="8" t="n">
        <f aca="false">SUM(D3:D10)</f>
        <v>19</v>
      </c>
      <c r="E11" s="8" t="n">
        <f aca="false">SUM(E3:E10)</f>
        <v>51</v>
      </c>
    </row>
    <row r="12" customFormat="false" ht="15" hidden="false" customHeight="true" outlineLevel="0" collapsed="false">
      <c r="A12" s="11" t="s">
        <v>180</v>
      </c>
      <c r="B12" s="12" t="n">
        <f aca="false">B11/$E$11</f>
        <v>0.137254901960784</v>
      </c>
      <c r="C12" s="12" t="n">
        <f aca="false">C11/$E$11</f>
        <v>0.490196078431373</v>
      </c>
      <c r="D12" s="12" t="n">
        <f aca="false">D11/$E$11</f>
        <v>0.372549019607843</v>
      </c>
      <c r="E12" s="12" t="n">
        <f aca="false">SUM(B12:D12)</f>
        <v>1</v>
      </c>
    </row>
    <row r="13" customFormat="false" ht="15" hidden="false" customHeight="true" outlineLevel="0" collapsed="false">
      <c r="A13" s="8"/>
      <c r="B13" s="8"/>
      <c r="C13" s="8"/>
      <c r="D13" s="8"/>
      <c r="E13" s="8"/>
    </row>
    <row r="14" customFormat="false" ht="8.25" hidden="false" customHeight="true" outlineLevel="0" collapsed="false">
      <c r="A14" s="8"/>
      <c r="B14" s="8"/>
      <c r="C14" s="8"/>
      <c r="D14" s="8"/>
      <c r="E14" s="8"/>
    </row>
    <row r="15" s="14" customFormat="true" ht="40.4" hidden="false" customHeight="true" outlineLevel="0" collapsed="false">
      <c r="A15" s="7" t="s">
        <v>181</v>
      </c>
      <c r="B15" s="13"/>
      <c r="C15" s="13"/>
      <c r="D15" s="13"/>
      <c r="E15" s="13"/>
    </row>
    <row r="16" s="14" customFormat="true" ht="27.75" hidden="false" customHeight="true" outlineLevel="0" collapsed="false">
      <c r="A16" s="9" t="s">
        <v>182</v>
      </c>
      <c r="B16" s="9" t="s">
        <v>183</v>
      </c>
      <c r="C16" s="9" t="s">
        <v>184</v>
      </c>
      <c r="D16" s="13"/>
      <c r="E16" s="13"/>
    </row>
    <row r="17" customFormat="false" ht="15" hidden="false" customHeight="true" outlineLevel="0" collapsed="false">
      <c r="A17" s="11" t="s">
        <v>185</v>
      </c>
      <c r="B17" s="8" t="n">
        <f aca="true">COUNTIFS(INDIRECT("Consensus!$C$2:$C$52"),"Confirmed",INDIRECT("Consensus!$D$2:$D$52"),"Confirmed")</f>
        <v>7</v>
      </c>
      <c r="C17" s="8" t="n">
        <f aca="true">SUMPRODUCT((INDIRECT("Consensus!$C$2:$C$52")="Confirmed")*(INDIRECT("Consensus!$D$2:$D$52")="Confirmed")/COUNTIF(INDIRECT("Consensus!$I$2:$I$52"),INDIRECT("Consensus!$I$2:$I$52")))</f>
        <v>3</v>
      </c>
      <c r="D17" s="8"/>
      <c r="E17" s="8"/>
    </row>
    <row r="18" customFormat="false" ht="15" hidden="false" customHeight="true" outlineLevel="0" collapsed="false">
      <c r="A18" s="11" t="s">
        <v>186</v>
      </c>
      <c r="B18" s="8" t="n">
        <f aca="true">COUNTIFS(INDIRECT("Consensus!$C$2:$C$52"),"Plausible",INDIRECT("Consensus!$D$2:$D$52"),"Plausible")</f>
        <v>21</v>
      </c>
      <c r="C18" s="8" t="n">
        <f aca="true">SUMPRODUCT((INDIRECT("Consensus!$C$2:$C$52")="Plausible")*(INDIRECT("Consensus!$D$2:$D$52")="Plausible")/COUNTIF(INDIRECT("Consensus!$I$2:$I$52"),INDIRECT("Consensus!$I$2:$I$52")))</f>
        <v>11</v>
      </c>
      <c r="D18" s="8"/>
      <c r="E18" s="8"/>
    </row>
    <row r="19" customFormat="false" ht="15" hidden="false" customHeight="true" outlineLevel="0" collapsed="false">
      <c r="A19" s="11" t="s">
        <v>187</v>
      </c>
      <c r="B19" s="8" t="n">
        <f aca="true">COUNTIFS(INDIRECT("Consensus!$C$2:$C$52"),"No supporting evidence found",INDIRECT("Consensus!$D$2:$D$52"),"No supporting evidence found")</f>
        <v>15</v>
      </c>
      <c r="C19" s="8" t="n">
        <f aca="true">SUMPRODUCT((INDIRECT("Consensus!$C$2:$C$52")="No supporting evidence found")*(INDIRECT("Consensus!$D$2:$D$52")="No supporting evidence found")/COUNTIF(INDIRECT("Consensus!$I$2:$I$52"),INDIRECT("Consensus!$I$2:$I$52")))</f>
        <v>8</v>
      </c>
      <c r="D19" s="8"/>
      <c r="E19" s="8"/>
    </row>
    <row r="20" customFormat="false" ht="23.25" hidden="false" customHeight="true" outlineLevel="0" collapsed="false">
      <c r="A20" s="11" t="s">
        <v>188</v>
      </c>
      <c r="B20" s="8" t="n">
        <f aca="true">COUNTIFS(INDIRECT("Consensus!$C$2:$C$52"),"Plausible",INDIRECT("Consensus!$D$2:$D$52"),"No supporting evidence found")</f>
        <v>8</v>
      </c>
      <c r="C20" s="8" t="n">
        <f aca="true">SUMPRODUCT((INDIRECT("Consensus!$C$2:$C$52")="Plausible")*(INDIRECT("Consensus!$D$2:$D$52")="No supporting evidence found")/COUNTIF(INDIRECT("Consensus!$I$2:$I$52"),INDIRECT("Consensus!$I$2:$I$52")))</f>
        <v>5</v>
      </c>
      <c r="D20" s="8"/>
      <c r="E20" s="8"/>
    </row>
    <row r="21" customFormat="false" ht="15" hidden="false" customHeight="true" outlineLevel="0" collapsed="false">
      <c r="A21" s="11" t="s">
        <v>189</v>
      </c>
      <c r="B21" s="8" t="n">
        <f aca="false">B22-SUM(B17:B20)</f>
        <v>0</v>
      </c>
      <c r="C21" s="8" t="n">
        <f aca="false">C22-SUM(C17:C20)</f>
        <v>0</v>
      </c>
      <c r="D21" s="8"/>
      <c r="E21" s="8"/>
    </row>
    <row r="22" customFormat="false" ht="15" hidden="false" customHeight="true" outlineLevel="0" collapsed="false">
      <c r="A22" s="11" t="s">
        <v>179</v>
      </c>
      <c r="B22" s="8" t="n">
        <f aca="true">COUNTA(INDIRECT("Consensus!$C$2:$C$52"))</f>
        <v>51</v>
      </c>
      <c r="C22" s="8" t="n">
        <f aca="true">SUMPRODUCT(1/COUNTIF(INDIRECT("Consensus!$I$2:$I$52"),INDIRECT("Consensus!$I$2:$I$52")))</f>
        <v>27</v>
      </c>
      <c r="D22" s="8"/>
      <c r="E22" s="8"/>
    </row>
    <row r="23" customFormat="false" ht="15" hidden="false" customHeight="true" outlineLevel="0" collapsed="false">
      <c r="A23" s="11" t="s">
        <v>190</v>
      </c>
      <c r="B23" s="8" t="n">
        <f aca="false">B17+B18+B19</f>
        <v>43</v>
      </c>
      <c r="C23" s="8" t="n">
        <f aca="false">C17+C18+C19</f>
        <v>22</v>
      </c>
      <c r="D23" s="8"/>
      <c r="E23" s="8"/>
    </row>
    <row r="24" customFormat="false" ht="15" hidden="false" customHeight="true" outlineLevel="0" collapsed="false">
      <c r="A24" s="11" t="s">
        <v>191</v>
      </c>
      <c r="B24" s="12" t="n">
        <f aca="false">B23/B22</f>
        <v>0.843137254901961</v>
      </c>
      <c r="C24" s="12" t="n">
        <f aca="false">C23/C22</f>
        <v>0.814814814814815</v>
      </c>
      <c r="D24" s="8"/>
      <c r="E24" s="8"/>
    </row>
    <row r="25" customFormat="false" ht="15" hidden="false" customHeight="true" outlineLevel="0" collapsed="false">
      <c r="A25" s="11" t="s">
        <v>192</v>
      </c>
      <c r="B25" s="15" t="n">
        <f aca="true">(COUNTIF(INDIRECT("Consensus!$C$2:$C$52"),"Confirmed")*COUNTIF(INDIRECT("Consensus!$D$2:$D$52"),"Confirmed")+COUNTIF(INDIRECT("Consensus!$C$2:$C$52"),"Plausible")*COUNTIF(INDIRECT("Consensus!$D$2:$D$52"),"Plausible")+COUNTIF(INDIRECT("Consensus!$C$2:$C$52"),"No supporting evidence found")*COUNTIF(INDIRECT("Consensus!$D$2:$D$52"),"No supporting evidence found"))/B22^2</f>
        <v>0.38562091503268</v>
      </c>
      <c r="C25" s="15" t="n">
        <f aca="true">(SUMPRODUCT((INDIRECT("Consensus!$C$2:$C$52")="Confirmed")/COUNTIF(INDIRECT("Consensus!$I$2:$I$52"),INDIRECT("Consensus!$I$2:$I$52")))*SUMPRODUCT((INDIRECT("Consensus!$D$2:$D$52")="Confirmed")/COUNTIF(INDIRECT("Consensus!$I$2:$I$52"),INDIRECT("Consensus!$I$2:$I$52")))+SUMPRODUCT((INDIRECT("Consensus!$C$2:$C$52")="Plausible")/COUNTIF(INDIRECT("Consensus!$I$2:$I$52"),INDIRECT("Consensus!$I$2:$I$52")))*SUMPRODUCT((INDIRECT("Consensus!$D$2:$D$52")="Plausible")/COUNTIF(INDIRECT("Consensus!$I$2:$I$52"),INDIRECT("Consensus!$I$2:$I$52")))+SUMPRODUCT((INDIRECT("Consensus!$C$2:$C$52")="No supporting evidence found")/COUNTIF(INDIRECT("Consensus!$I$2:$I$52"),INDIRECT("Consensus!$I$2:$I$52")))*SUMPRODUCT((INDIRECT("Consensus!$D$2:$D$52")="No supporting evidence found")/COUNTIF(INDIRECT("Consensus!$I$2:$I$52"),INDIRECT("Consensus!$I$2:$I$52"))))/C22^2</f>
        <v>0.396433470507545</v>
      </c>
      <c r="D25" s="8"/>
      <c r="E25" s="8"/>
    </row>
    <row r="26" customFormat="false" ht="15" hidden="false" customHeight="true" outlineLevel="0" collapsed="false">
      <c r="A26" s="11" t="s">
        <v>193</v>
      </c>
      <c r="B26" s="15" t="n">
        <f aca="false">(B24-B25)/(1-B25)</f>
        <v>0.74468085106383</v>
      </c>
      <c r="C26" s="15" t="n">
        <f aca="false">(C24-C25)/(1-C25)</f>
        <v>0.693181818181818</v>
      </c>
      <c r="D26" s="8"/>
      <c r="E26" s="8"/>
    </row>
    <row r="27" customFormat="false" ht="15" hidden="false" customHeight="true" outlineLevel="0" collapsed="false">
      <c r="A27" s="8"/>
      <c r="B27" s="8"/>
      <c r="C27" s="8"/>
      <c r="D27" s="8"/>
      <c r="E27" s="8"/>
    </row>
    <row r="28" customFormat="false" ht="15" hidden="false" customHeight="true" outlineLevel="0" collapsed="false">
      <c r="A28" s="8"/>
      <c r="B28" s="8"/>
      <c r="C28" s="8"/>
      <c r="D28" s="8"/>
      <c r="E28" s="8"/>
    </row>
    <row r="29" s="14" customFormat="true" ht="37.5" hidden="false" customHeight="true" outlineLevel="0" collapsed="false">
      <c r="A29" s="7" t="s">
        <v>194</v>
      </c>
      <c r="B29" s="13"/>
      <c r="C29" s="13"/>
      <c r="D29" s="13"/>
      <c r="E29" s="13"/>
    </row>
    <row r="30" s="14" customFormat="true" ht="27.75" hidden="false" customHeight="true" outlineLevel="0" collapsed="false">
      <c r="A30" s="16"/>
      <c r="B30" s="9" t="s">
        <v>184</v>
      </c>
      <c r="C30" s="9" t="s">
        <v>195</v>
      </c>
      <c r="D30" s="13"/>
      <c r="E30" s="13"/>
    </row>
    <row r="31" customFormat="false" ht="15" hidden="false" customHeight="true" outlineLevel="0" collapsed="false">
      <c r="A31" s="8" t="s">
        <v>196</v>
      </c>
      <c r="B31" s="8" t="n">
        <f aca="true">SUMPRODUCT((INDIRECT("Consensus!$C$2:$C$52")&lt;&gt;INDIRECT("Consensus!$D$2:$D$52"))/COUNTIF(INDIRECT("Consensus!$I$2:$I$52"),INDIRECT("Consensus!$I$2:$I$52")))</f>
        <v>5</v>
      </c>
      <c r="C31" s="8" t="n">
        <f aca="true">SUMPRODUCT(--(INDIRECT("Consensus!$C$2:$C$52")&lt;&gt;INDIRECT("Consensus!$D$2:$D$52")))</f>
        <v>8</v>
      </c>
      <c r="D31" s="8"/>
      <c r="E31" s="8"/>
    </row>
    <row r="32" customFormat="false" ht="19.9" hidden="false" customHeight="true" outlineLevel="0" collapsed="false">
      <c r="A32" s="8" t="s">
        <v>197</v>
      </c>
      <c r="B32" s="8" t="n">
        <f aca="true">SUMPRODUCT((INDIRECT("Consensus!$C$2:$C$52")&lt;&gt;INDIRECT("Consensus!$D$2:$D$52"))*(INDIRECT("Consensus!$G$2:$G$52")="Confirmed")/COUNTIF(INDIRECT("Consensus!$I$2:$I$52"),INDIRECT("Consensus!$I$2:$I$52")))</f>
        <v>0</v>
      </c>
      <c r="C32" s="8" t="n">
        <f aca="true">SUMPRODUCT((INDIRECT("Consensus!$C$2:$C$52")&lt;&gt;INDIRECT("Consensus!$D$2:$D$52"))*(INDIRECT("Consensus!$G$2:$G$52")="Confirmed"))</f>
        <v>0</v>
      </c>
      <c r="D32" s="8"/>
      <c r="E32" s="8"/>
    </row>
    <row r="33" customFormat="false" ht="22.35" hidden="false" customHeight="true" outlineLevel="0" collapsed="false">
      <c r="A33" s="8" t="s">
        <v>198</v>
      </c>
      <c r="B33" s="8" t="n">
        <f aca="true">SUMPRODUCT((INDIRECT("Consensus!$C$2:$C$52")&lt;&gt;INDIRECT("Consensus!$D$2:$D$52"))*(INDIRECT("Consensus!$G$2:$G$52")="Plausible")/COUNTIF(INDIRECT("Consensus!$I$2:$I$52"),INDIRECT("Consensus!$I$2:$I$52")))</f>
        <v>2</v>
      </c>
      <c r="C33" s="8" t="n">
        <f aca="true">SUMPRODUCT((INDIRECT("Consensus!$C$2:$C$52")&lt;&gt;INDIRECT("Consensus!$D$2:$D$52"))*(INDIRECT("Consensus!$G$2:$G$52")="Plausible"))</f>
        <v>4</v>
      </c>
      <c r="D33" s="8"/>
      <c r="E33" s="8"/>
    </row>
    <row r="34" customFormat="false" ht="30.45" hidden="false" customHeight="true" outlineLevel="0" collapsed="false">
      <c r="A34" s="8" t="s">
        <v>199</v>
      </c>
      <c r="B34" s="8" t="n">
        <f aca="true">SUMPRODUCT((INDIRECT("Consensus!$C$2:$C$52")&lt;&gt;INDIRECT("Consensus!$D$2:$D$52"))*(INDIRECT("Consensus!$G$2:$G$52")="No supporting evidence found")/COUNTIF(INDIRECT("Consensus!$I$2:$I$52"),INDIRECT("Consensus!$I$2:$I$52")))</f>
        <v>3</v>
      </c>
      <c r="C34" s="8" t="n">
        <f aca="true">SUMPRODUCT((INDIRECT("Consensus!$C$2:$C$52")&lt;&gt;INDIRECT("Consensus!$D$2:$D$52"))*(INDIRECT("Consensus!$G$2:$G$52")="No supporting evidence found"))</f>
        <v>4</v>
      </c>
      <c r="D34" s="8"/>
      <c r="E34" s="8"/>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2"/>
  <sheetViews>
    <sheetView showFormulas="false" showGridLines="true" showRowColHeaders="true" showZeros="true" rightToLeft="false" tabSelected="false" showOutlineSymbols="true" defaultGridColor="true" view="normal" topLeftCell="L1" colorId="64" zoomScale="90" zoomScaleNormal="90" zoomScalePageLayoutView="100" workbookViewId="0">
      <pane xSplit="0" ySplit="1" topLeftCell="A3" activePane="bottomLeft" state="frozen"/>
      <selection pane="topLeft" activeCell="L1" activeCellId="0" sqref="L1"/>
      <selection pane="bottomLeft" activeCell="N25" activeCellId="0" sqref="N25"/>
    </sheetView>
  </sheetViews>
  <sheetFormatPr defaultColWidth="8.71484375" defaultRowHeight="15" zeroHeight="false" outlineLevelRow="0" outlineLevelCol="0"/>
  <cols>
    <col collapsed="false" customWidth="true" hidden="false" outlineLevel="0" max="1" min="1" style="17" width="10"/>
    <col collapsed="false" customWidth="true" hidden="false" outlineLevel="0" max="2" min="2" style="17" width="22"/>
    <col collapsed="false" customWidth="true" hidden="false" outlineLevel="0" max="3" min="3" style="17" width="10"/>
    <col collapsed="false" customWidth="true" hidden="false" outlineLevel="0" max="4" min="4" style="17" width="55"/>
    <col collapsed="false" customWidth="true" hidden="false" outlineLevel="0" max="5" min="5" style="17" width="11"/>
    <col collapsed="false" customWidth="true" hidden="false" outlineLevel="0" max="6" min="6" style="17" width="39"/>
    <col collapsed="false" customWidth="true" hidden="false" outlineLevel="0" max="7" min="7" style="17" width="60"/>
    <col collapsed="false" customWidth="true" hidden="false" outlineLevel="0" max="8" min="8" style="17" width="11"/>
    <col collapsed="false" customWidth="true" hidden="false" outlineLevel="0" max="10" min="9" style="17" width="60"/>
    <col collapsed="false" customWidth="true" hidden="false" outlineLevel="0" max="11" min="11" style="17" width="35"/>
    <col collapsed="false" customWidth="true" hidden="false" outlineLevel="0" max="12" min="12" style="17" width="21"/>
    <col collapsed="false" customWidth="true" hidden="false" outlineLevel="0" max="13" min="13" style="17" width="12"/>
    <col collapsed="false" customWidth="true" hidden="false" outlineLevel="0" max="14" min="14" style="18" width="22"/>
    <col collapsed="false" customWidth="true" hidden="false" outlineLevel="0" max="15" min="15" style="18" width="10"/>
    <col collapsed="false" customWidth="false" hidden="false" outlineLevel="0" max="16383" min="16" style="17" width="8.71"/>
    <col collapsed="false" customWidth="true" hidden="false" outlineLevel="0" max="16384" min="16384" style="17" width="11.57"/>
  </cols>
  <sheetData>
    <row r="1" customFormat="false" ht="25.5" hidden="false" customHeight="true" outlineLevel="0" collapsed="false">
      <c r="A1" s="19" t="s">
        <v>0</v>
      </c>
      <c r="B1" s="19" t="s">
        <v>1</v>
      </c>
      <c r="C1" s="19" t="s">
        <v>200</v>
      </c>
      <c r="D1" s="19" t="s">
        <v>201</v>
      </c>
      <c r="E1" s="19" t="s">
        <v>202</v>
      </c>
      <c r="F1" s="19" t="s">
        <v>203</v>
      </c>
      <c r="G1" s="19" t="s">
        <v>204</v>
      </c>
      <c r="H1" s="19" t="s">
        <v>205</v>
      </c>
      <c r="I1" s="19" t="s">
        <v>206</v>
      </c>
      <c r="J1" s="19" t="s">
        <v>207</v>
      </c>
      <c r="K1" s="19" t="s">
        <v>8</v>
      </c>
      <c r="L1" s="19" t="s">
        <v>208</v>
      </c>
      <c r="M1" s="19" t="s">
        <v>209</v>
      </c>
      <c r="N1" s="20" t="s">
        <v>210</v>
      </c>
      <c r="O1" s="20" t="s">
        <v>211</v>
      </c>
    </row>
    <row r="2" customFormat="false" ht="23.25" hidden="false" customHeight="true" outlineLevel="0" collapsed="false">
      <c r="A2" s="21" t="s">
        <v>9</v>
      </c>
      <c r="B2" s="21" t="s">
        <v>10</v>
      </c>
      <c r="C2" s="21" t="s">
        <v>212</v>
      </c>
      <c r="D2" s="21" t="s">
        <v>213</v>
      </c>
      <c r="E2" s="21" t="s">
        <v>214</v>
      </c>
      <c r="F2" s="21" t="s">
        <v>215</v>
      </c>
      <c r="G2" s="21" t="s">
        <v>216</v>
      </c>
      <c r="H2" s="21" t="s">
        <v>217</v>
      </c>
      <c r="I2" s="21" t="s">
        <v>218</v>
      </c>
      <c r="J2" s="21" t="s">
        <v>219</v>
      </c>
      <c r="K2" s="21" t="s">
        <v>15</v>
      </c>
      <c r="L2" s="21" t="s">
        <v>220</v>
      </c>
      <c r="M2" s="21" t="s">
        <v>11</v>
      </c>
      <c r="N2" s="22" t="s">
        <v>12</v>
      </c>
      <c r="O2" s="22" t="s">
        <v>221</v>
      </c>
    </row>
    <row r="3" customFormat="false" ht="23.25" hidden="false" customHeight="true" outlineLevel="0" collapsed="false">
      <c r="A3" s="21" t="s">
        <v>16</v>
      </c>
      <c r="B3" s="21" t="s">
        <v>17</v>
      </c>
      <c r="C3" s="21" t="s">
        <v>212</v>
      </c>
      <c r="D3" s="21" t="s">
        <v>213</v>
      </c>
      <c r="E3" s="21" t="s">
        <v>214</v>
      </c>
      <c r="F3" s="21" t="s">
        <v>215</v>
      </c>
      <c r="G3" s="21" t="s">
        <v>216</v>
      </c>
      <c r="H3" s="21" t="s">
        <v>217</v>
      </c>
      <c r="I3" s="21" t="s">
        <v>218</v>
      </c>
      <c r="J3" s="21" t="s">
        <v>219</v>
      </c>
      <c r="K3" s="21" t="s">
        <v>15</v>
      </c>
      <c r="L3" s="21" t="s">
        <v>220</v>
      </c>
      <c r="M3" s="21" t="s">
        <v>11</v>
      </c>
      <c r="N3" s="22" t="s">
        <v>18</v>
      </c>
      <c r="O3" s="22" t="s">
        <v>221</v>
      </c>
    </row>
    <row r="4" customFormat="false" ht="23.25" hidden="false" customHeight="true" outlineLevel="0" collapsed="false">
      <c r="A4" s="23" t="s">
        <v>20</v>
      </c>
      <c r="B4" s="23" t="s">
        <v>17</v>
      </c>
      <c r="C4" s="23" t="s">
        <v>222</v>
      </c>
      <c r="D4" s="23" t="s">
        <v>223</v>
      </c>
      <c r="E4" s="23" t="s">
        <v>224</v>
      </c>
      <c r="F4" s="23" t="s">
        <v>225</v>
      </c>
      <c r="G4" s="23" t="s">
        <v>226</v>
      </c>
      <c r="H4" s="23" t="s">
        <v>227</v>
      </c>
      <c r="I4" s="23" t="s">
        <v>228</v>
      </c>
      <c r="J4" s="23" t="s">
        <v>229</v>
      </c>
      <c r="K4" s="23" t="s">
        <v>26</v>
      </c>
      <c r="L4" s="23" t="s">
        <v>230</v>
      </c>
      <c r="M4" s="23" t="s">
        <v>21</v>
      </c>
      <c r="N4" s="24" t="s">
        <v>23</v>
      </c>
      <c r="O4" s="25" t="s">
        <v>231</v>
      </c>
    </row>
    <row r="5" customFormat="false" ht="24.75" hidden="false" customHeight="true" outlineLevel="0" collapsed="false">
      <c r="A5" s="26" t="s">
        <v>27</v>
      </c>
      <c r="B5" s="26" t="s">
        <v>17</v>
      </c>
      <c r="C5" s="26" t="s">
        <v>232</v>
      </c>
      <c r="D5" s="26" t="s">
        <v>233</v>
      </c>
      <c r="E5" s="26" t="s">
        <v>234</v>
      </c>
      <c r="F5" s="26" t="s">
        <v>235</v>
      </c>
      <c r="G5" s="26" t="s">
        <v>236</v>
      </c>
      <c r="H5" s="26" t="s">
        <v>237</v>
      </c>
      <c r="I5" s="26" t="s">
        <v>238</v>
      </c>
      <c r="J5" s="26" t="s">
        <v>239</v>
      </c>
      <c r="K5" s="26" t="s">
        <v>30</v>
      </c>
      <c r="L5" s="26" t="s">
        <v>220</v>
      </c>
      <c r="M5" s="26" t="s">
        <v>21</v>
      </c>
      <c r="N5" s="27" t="s">
        <v>28</v>
      </c>
      <c r="O5" s="26" t="s">
        <v>240</v>
      </c>
    </row>
    <row r="6" customFormat="false" ht="15" hidden="false" customHeight="true" outlineLevel="0" collapsed="false">
      <c r="A6" s="28" t="s">
        <v>31</v>
      </c>
      <c r="B6" s="28" t="s">
        <v>17</v>
      </c>
      <c r="C6" s="28" t="s">
        <v>232</v>
      </c>
      <c r="D6" s="28" t="s">
        <v>233</v>
      </c>
      <c r="E6" s="28" t="s">
        <v>234</v>
      </c>
      <c r="F6" s="28" t="s">
        <v>235</v>
      </c>
      <c r="G6" s="28" t="s">
        <v>241</v>
      </c>
      <c r="H6" s="28" t="s">
        <v>242</v>
      </c>
      <c r="I6" s="28" t="s">
        <v>243</v>
      </c>
      <c r="J6" s="28" t="s">
        <v>239</v>
      </c>
      <c r="K6" s="28" t="s">
        <v>34</v>
      </c>
      <c r="L6" s="28" t="s">
        <v>220</v>
      </c>
      <c r="M6" s="28" t="s">
        <v>22</v>
      </c>
      <c r="N6" s="28" t="s">
        <v>32</v>
      </c>
      <c r="O6" s="29" t="s">
        <v>244</v>
      </c>
      <c r="P6" s="30"/>
    </row>
    <row r="7" customFormat="false" ht="15" hidden="false" customHeight="true" outlineLevel="0" collapsed="false">
      <c r="A7" s="31" t="s">
        <v>35</v>
      </c>
      <c r="B7" s="31" t="s">
        <v>17</v>
      </c>
      <c r="C7" s="31" t="s">
        <v>232</v>
      </c>
      <c r="D7" s="31" t="s">
        <v>233</v>
      </c>
      <c r="E7" s="31" t="s">
        <v>234</v>
      </c>
      <c r="F7" s="31" t="s">
        <v>235</v>
      </c>
      <c r="G7" s="31" t="s">
        <v>236</v>
      </c>
      <c r="H7" s="31" t="s">
        <v>242</v>
      </c>
      <c r="I7" s="31" t="s">
        <v>243</v>
      </c>
      <c r="J7" s="31" t="s">
        <v>239</v>
      </c>
      <c r="K7" s="31" t="s">
        <v>38</v>
      </c>
      <c r="L7" s="31" t="s">
        <v>220</v>
      </c>
      <c r="M7" s="31" t="s">
        <v>22</v>
      </c>
      <c r="N7" s="31" t="s">
        <v>36</v>
      </c>
      <c r="O7" s="31" t="s">
        <v>245</v>
      </c>
    </row>
    <row r="8" customFormat="false" ht="15" hidden="false" customHeight="true" outlineLevel="0" collapsed="false">
      <c r="A8" s="32" t="s">
        <v>39</v>
      </c>
      <c r="B8" s="32" t="s">
        <v>17</v>
      </c>
      <c r="C8" s="32" t="s">
        <v>232</v>
      </c>
      <c r="D8" s="32" t="s">
        <v>233</v>
      </c>
      <c r="E8" s="32" t="s">
        <v>234</v>
      </c>
      <c r="F8" s="32" t="s">
        <v>235</v>
      </c>
      <c r="G8" s="32" t="s">
        <v>236</v>
      </c>
      <c r="H8" s="32" t="s">
        <v>246</v>
      </c>
      <c r="I8" s="32" t="s">
        <v>247</v>
      </c>
      <c r="J8" s="32" t="s">
        <v>239</v>
      </c>
      <c r="K8" s="32" t="s">
        <v>42</v>
      </c>
      <c r="L8" s="32" t="s">
        <v>220</v>
      </c>
      <c r="M8" s="32" t="s">
        <v>21</v>
      </c>
      <c r="N8" s="32" t="s">
        <v>40</v>
      </c>
      <c r="O8" s="32" t="s">
        <v>248</v>
      </c>
    </row>
    <row r="9" customFormat="false" ht="15" hidden="false" customHeight="true" outlineLevel="0" collapsed="false">
      <c r="A9" s="23" t="s">
        <v>43</v>
      </c>
      <c r="B9" s="23" t="s">
        <v>17</v>
      </c>
      <c r="C9" s="23" t="s">
        <v>232</v>
      </c>
      <c r="D9" s="23" t="s">
        <v>233</v>
      </c>
      <c r="E9" s="23" t="s">
        <v>224</v>
      </c>
      <c r="F9" s="23" t="s">
        <v>225</v>
      </c>
      <c r="G9" s="23" t="s">
        <v>249</v>
      </c>
      <c r="H9" s="23" t="s">
        <v>250</v>
      </c>
      <c r="I9" s="23" t="s">
        <v>251</v>
      </c>
      <c r="J9" s="23" t="s">
        <v>239</v>
      </c>
      <c r="K9" s="23" t="s">
        <v>46</v>
      </c>
      <c r="L9" s="23" t="s">
        <v>230</v>
      </c>
      <c r="M9" s="23" t="s">
        <v>22</v>
      </c>
      <c r="N9" s="23" t="s">
        <v>44</v>
      </c>
      <c r="O9" s="23" t="s">
        <v>252</v>
      </c>
    </row>
    <row r="10" customFormat="false" ht="15" hidden="false" customHeight="true" outlineLevel="0" collapsed="false">
      <c r="A10" s="23" t="s">
        <v>47</v>
      </c>
      <c r="B10" s="23" t="s">
        <v>17</v>
      </c>
      <c r="C10" s="23" t="s">
        <v>232</v>
      </c>
      <c r="D10" s="23" t="s">
        <v>233</v>
      </c>
      <c r="E10" s="23" t="s">
        <v>253</v>
      </c>
      <c r="F10" s="23" t="s">
        <v>254</v>
      </c>
      <c r="G10" s="23"/>
      <c r="H10" s="23" t="s">
        <v>250</v>
      </c>
      <c r="I10" s="23" t="s">
        <v>251</v>
      </c>
      <c r="J10" s="23" t="s">
        <v>239</v>
      </c>
      <c r="K10" s="23" t="s">
        <v>50</v>
      </c>
      <c r="L10" s="23" t="s">
        <v>230</v>
      </c>
      <c r="M10" s="23" t="s">
        <v>22</v>
      </c>
      <c r="N10" s="23" t="s">
        <v>48</v>
      </c>
      <c r="O10" s="23" t="s">
        <v>255</v>
      </c>
    </row>
    <row r="11" customFormat="false" ht="15" hidden="false" customHeight="true" outlineLevel="0" collapsed="false">
      <c r="A11" s="33" t="s">
        <v>51</v>
      </c>
      <c r="B11" s="33" t="s">
        <v>17</v>
      </c>
      <c r="C11" s="33" t="s">
        <v>232</v>
      </c>
      <c r="D11" s="33" t="s">
        <v>233</v>
      </c>
      <c r="E11" s="33" t="s">
        <v>234</v>
      </c>
      <c r="F11" s="33" t="s">
        <v>235</v>
      </c>
      <c r="G11" s="33" t="s">
        <v>241</v>
      </c>
      <c r="H11" s="33" t="s">
        <v>250</v>
      </c>
      <c r="I11" s="33" t="s">
        <v>251</v>
      </c>
      <c r="J11" s="33" t="s">
        <v>239</v>
      </c>
      <c r="K11" s="33" t="s">
        <v>54</v>
      </c>
      <c r="L11" s="33" t="s">
        <v>220</v>
      </c>
      <c r="M11" s="33" t="s">
        <v>22</v>
      </c>
      <c r="N11" s="33" t="s">
        <v>52</v>
      </c>
      <c r="O11" s="33"/>
    </row>
    <row r="12" customFormat="false" ht="23.25" hidden="false" customHeight="true" outlineLevel="0" collapsed="false">
      <c r="A12" s="21" t="s">
        <v>55</v>
      </c>
      <c r="B12" s="21" t="s">
        <v>56</v>
      </c>
      <c r="C12" s="21" t="s">
        <v>212</v>
      </c>
      <c r="D12" s="21" t="s">
        <v>213</v>
      </c>
      <c r="E12" s="21" t="s">
        <v>214</v>
      </c>
      <c r="F12" s="21" t="s">
        <v>215</v>
      </c>
      <c r="G12" s="21" t="s">
        <v>216</v>
      </c>
      <c r="H12" s="21" t="s">
        <v>217</v>
      </c>
      <c r="I12" s="21" t="s">
        <v>218</v>
      </c>
      <c r="J12" s="21" t="s">
        <v>219</v>
      </c>
      <c r="K12" s="21" t="s">
        <v>15</v>
      </c>
      <c r="L12" s="21" t="s">
        <v>220</v>
      </c>
      <c r="M12" s="21" t="s">
        <v>11</v>
      </c>
      <c r="N12" s="21" t="s">
        <v>12</v>
      </c>
      <c r="O12" s="21" t="s">
        <v>221</v>
      </c>
    </row>
    <row r="13" customFormat="false" ht="15" hidden="false" customHeight="true" outlineLevel="0" collapsed="false">
      <c r="A13" s="34" t="s">
        <v>58</v>
      </c>
      <c r="B13" s="34" t="s">
        <v>56</v>
      </c>
      <c r="C13" s="34" t="s">
        <v>222</v>
      </c>
      <c r="D13" s="34" t="s">
        <v>223</v>
      </c>
      <c r="E13" s="34" t="s">
        <v>256</v>
      </c>
      <c r="F13" s="34" t="s">
        <v>257</v>
      </c>
      <c r="G13" s="34"/>
      <c r="H13" s="34" t="s">
        <v>258</v>
      </c>
      <c r="I13" s="34" t="s">
        <v>259</v>
      </c>
      <c r="J13" s="34" t="s">
        <v>229</v>
      </c>
      <c r="K13" s="34" t="s">
        <v>61</v>
      </c>
      <c r="L13" s="34" t="s">
        <v>220</v>
      </c>
      <c r="M13" s="34" t="s">
        <v>21</v>
      </c>
      <c r="N13" s="34" t="s">
        <v>59</v>
      </c>
      <c r="O13" s="34" t="s">
        <v>260</v>
      </c>
    </row>
    <row r="14" customFormat="false" ht="24.75" hidden="false" customHeight="true" outlineLevel="0" collapsed="false">
      <c r="A14" s="21" t="s">
        <v>62</v>
      </c>
      <c r="B14" s="21" t="s">
        <v>56</v>
      </c>
      <c r="C14" s="21" t="s">
        <v>222</v>
      </c>
      <c r="D14" s="21" t="s">
        <v>223</v>
      </c>
      <c r="E14" s="21" t="s">
        <v>256</v>
      </c>
      <c r="F14" s="21" t="s">
        <v>257</v>
      </c>
      <c r="G14" s="21"/>
      <c r="H14" s="21" t="s">
        <v>261</v>
      </c>
      <c r="I14" s="21" t="s">
        <v>262</v>
      </c>
      <c r="J14" s="21" t="s">
        <v>229</v>
      </c>
      <c r="K14" s="21" t="s">
        <v>65</v>
      </c>
      <c r="L14" s="21" t="s">
        <v>220</v>
      </c>
      <c r="M14" s="21" t="s">
        <v>21</v>
      </c>
      <c r="N14" s="35" t="s">
        <v>63</v>
      </c>
      <c r="O14" s="21" t="s">
        <v>263</v>
      </c>
    </row>
    <row r="15" customFormat="false" ht="15" hidden="false" customHeight="true" outlineLevel="0" collapsed="false">
      <c r="A15" s="26" t="s">
        <v>66</v>
      </c>
      <c r="B15" s="26" t="s">
        <v>56</v>
      </c>
      <c r="C15" s="26" t="s">
        <v>222</v>
      </c>
      <c r="D15" s="26" t="s">
        <v>223</v>
      </c>
      <c r="E15" s="26" t="s">
        <v>264</v>
      </c>
      <c r="F15" s="26" t="s">
        <v>265</v>
      </c>
      <c r="G15" s="26"/>
      <c r="H15" s="26" t="s">
        <v>266</v>
      </c>
      <c r="I15" s="26" t="s">
        <v>267</v>
      </c>
      <c r="J15" s="26" t="s">
        <v>229</v>
      </c>
      <c r="K15" s="26" t="s">
        <v>70</v>
      </c>
      <c r="L15" s="26" t="s">
        <v>220</v>
      </c>
      <c r="M15" s="26" t="s">
        <v>21</v>
      </c>
      <c r="N15" s="26" t="s">
        <v>67</v>
      </c>
      <c r="O15" s="26" t="s">
        <v>268</v>
      </c>
    </row>
    <row r="16" customFormat="false" ht="24.75" hidden="false" customHeight="true" outlineLevel="0" collapsed="false">
      <c r="A16" s="26" t="s">
        <v>71</v>
      </c>
      <c r="B16" s="26" t="s">
        <v>56</v>
      </c>
      <c r="C16" s="26" t="s">
        <v>232</v>
      </c>
      <c r="D16" s="26" t="s">
        <v>233</v>
      </c>
      <c r="E16" s="26" t="s">
        <v>234</v>
      </c>
      <c r="F16" s="26" t="s">
        <v>235</v>
      </c>
      <c r="G16" s="26" t="s">
        <v>236</v>
      </c>
      <c r="H16" s="26" t="s">
        <v>237</v>
      </c>
      <c r="I16" s="26" t="s">
        <v>238</v>
      </c>
      <c r="J16" s="26" t="s">
        <v>239</v>
      </c>
      <c r="K16" s="26" t="s">
        <v>30</v>
      </c>
      <c r="L16" s="26" t="s">
        <v>220</v>
      </c>
      <c r="M16" s="26" t="s">
        <v>21</v>
      </c>
      <c r="N16" s="27" t="s">
        <v>28</v>
      </c>
      <c r="O16" s="26" t="s">
        <v>240</v>
      </c>
    </row>
    <row r="17" customFormat="false" ht="15" hidden="false" customHeight="true" outlineLevel="0" collapsed="false">
      <c r="A17" s="28" t="s">
        <v>73</v>
      </c>
      <c r="B17" s="28" t="s">
        <v>56</v>
      </c>
      <c r="C17" s="28" t="s">
        <v>232</v>
      </c>
      <c r="D17" s="28" t="s">
        <v>233</v>
      </c>
      <c r="E17" s="28" t="s">
        <v>256</v>
      </c>
      <c r="F17" s="28" t="s">
        <v>257</v>
      </c>
      <c r="G17" s="28"/>
      <c r="H17" s="28" t="s">
        <v>269</v>
      </c>
      <c r="I17" s="28" t="s">
        <v>270</v>
      </c>
      <c r="J17" s="28" t="s">
        <v>239</v>
      </c>
      <c r="K17" s="28" t="s">
        <v>76</v>
      </c>
      <c r="L17" s="28" t="s">
        <v>220</v>
      </c>
      <c r="M17" s="28" t="s">
        <v>21</v>
      </c>
      <c r="N17" s="28" t="s">
        <v>74</v>
      </c>
      <c r="O17" s="28"/>
    </row>
    <row r="18" customFormat="false" ht="15" hidden="false" customHeight="true" outlineLevel="0" collapsed="false">
      <c r="A18" s="28" t="s">
        <v>77</v>
      </c>
      <c r="B18" s="28" t="s">
        <v>56</v>
      </c>
      <c r="C18" s="28" t="s">
        <v>232</v>
      </c>
      <c r="D18" s="28" t="s">
        <v>233</v>
      </c>
      <c r="E18" s="28" t="s">
        <v>234</v>
      </c>
      <c r="F18" s="28" t="s">
        <v>235</v>
      </c>
      <c r="G18" s="28" t="s">
        <v>241</v>
      </c>
      <c r="H18" s="28" t="s">
        <v>242</v>
      </c>
      <c r="I18" s="28" t="s">
        <v>243</v>
      </c>
      <c r="J18" s="28" t="s">
        <v>239</v>
      </c>
      <c r="K18" s="28" t="s">
        <v>34</v>
      </c>
      <c r="L18" s="28" t="s">
        <v>220</v>
      </c>
      <c r="M18" s="28" t="s">
        <v>22</v>
      </c>
      <c r="N18" s="28" t="s">
        <v>32</v>
      </c>
      <c r="O18" s="28" t="s">
        <v>244</v>
      </c>
    </row>
    <row r="19" customFormat="false" ht="15" hidden="false" customHeight="true" outlineLevel="0" collapsed="false">
      <c r="A19" s="31" t="s">
        <v>79</v>
      </c>
      <c r="B19" s="31" t="s">
        <v>56</v>
      </c>
      <c r="C19" s="31" t="s">
        <v>232</v>
      </c>
      <c r="D19" s="31" t="s">
        <v>233</v>
      </c>
      <c r="E19" s="31" t="s">
        <v>234</v>
      </c>
      <c r="F19" s="31" t="s">
        <v>235</v>
      </c>
      <c r="G19" s="31" t="s">
        <v>236</v>
      </c>
      <c r="H19" s="31" t="s">
        <v>242</v>
      </c>
      <c r="I19" s="31" t="s">
        <v>243</v>
      </c>
      <c r="J19" s="31" t="s">
        <v>239</v>
      </c>
      <c r="K19" s="31" t="s">
        <v>38</v>
      </c>
      <c r="L19" s="31" t="s">
        <v>220</v>
      </c>
      <c r="M19" s="31" t="s">
        <v>22</v>
      </c>
      <c r="N19" s="31" t="s">
        <v>36</v>
      </c>
      <c r="O19" s="31" t="s">
        <v>245</v>
      </c>
    </row>
    <row r="20" customFormat="false" ht="15" hidden="false" customHeight="true" outlineLevel="0" collapsed="false">
      <c r="A20" s="32" t="s">
        <v>81</v>
      </c>
      <c r="B20" s="32" t="s">
        <v>56</v>
      </c>
      <c r="C20" s="32" t="s">
        <v>232</v>
      </c>
      <c r="D20" s="32" t="s">
        <v>233</v>
      </c>
      <c r="E20" s="32" t="s">
        <v>234</v>
      </c>
      <c r="F20" s="32" t="s">
        <v>235</v>
      </c>
      <c r="G20" s="32" t="s">
        <v>236</v>
      </c>
      <c r="H20" s="32" t="s">
        <v>246</v>
      </c>
      <c r="I20" s="32" t="s">
        <v>247</v>
      </c>
      <c r="J20" s="32" t="s">
        <v>239</v>
      </c>
      <c r="K20" s="32" t="s">
        <v>42</v>
      </c>
      <c r="L20" s="32" t="s">
        <v>220</v>
      </c>
      <c r="M20" s="32" t="s">
        <v>21</v>
      </c>
      <c r="N20" s="32" t="s">
        <v>40</v>
      </c>
      <c r="O20" s="32" t="s">
        <v>248</v>
      </c>
    </row>
    <row r="21" customFormat="false" ht="15" hidden="false" customHeight="true" outlineLevel="0" collapsed="false">
      <c r="A21" s="31" t="s">
        <v>83</v>
      </c>
      <c r="B21" s="31" t="s">
        <v>56</v>
      </c>
      <c r="C21" s="31" t="s">
        <v>232</v>
      </c>
      <c r="D21" s="31" t="s">
        <v>233</v>
      </c>
      <c r="E21" s="31" t="s">
        <v>264</v>
      </c>
      <c r="F21" s="31" t="s">
        <v>265</v>
      </c>
      <c r="G21" s="31" t="s">
        <v>271</v>
      </c>
      <c r="H21" s="31" t="s">
        <v>272</v>
      </c>
      <c r="I21" s="31" t="s">
        <v>273</v>
      </c>
      <c r="J21" s="31" t="s">
        <v>239</v>
      </c>
      <c r="K21" s="31" t="s">
        <v>87</v>
      </c>
      <c r="L21" s="31" t="s">
        <v>220</v>
      </c>
      <c r="M21" s="31" t="s">
        <v>21</v>
      </c>
      <c r="N21" s="31" t="s">
        <v>84</v>
      </c>
      <c r="O21" s="31" t="s">
        <v>274</v>
      </c>
    </row>
    <row r="22" customFormat="false" ht="15" hidden="false" customHeight="true" outlineLevel="0" collapsed="false">
      <c r="A22" s="33" t="s">
        <v>88</v>
      </c>
      <c r="B22" s="33" t="s">
        <v>56</v>
      </c>
      <c r="C22" s="33" t="s">
        <v>232</v>
      </c>
      <c r="D22" s="33" t="s">
        <v>233</v>
      </c>
      <c r="E22" s="33" t="s">
        <v>234</v>
      </c>
      <c r="F22" s="33" t="s">
        <v>235</v>
      </c>
      <c r="G22" s="33" t="s">
        <v>241</v>
      </c>
      <c r="H22" s="33" t="s">
        <v>250</v>
      </c>
      <c r="I22" s="33" t="s">
        <v>251</v>
      </c>
      <c r="J22" s="33" t="s">
        <v>239</v>
      </c>
      <c r="K22" s="33" t="s">
        <v>54</v>
      </c>
      <c r="L22" s="33" t="s">
        <v>220</v>
      </c>
      <c r="M22" s="33" t="s">
        <v>22</v>
      </c>
      <c r="N22" s="33" t="s">
        <v>52</v>
      </c>
      <c r="O22" s="33"/>
    </row>
    <row r="23" customFormat="false" ht="23.25" hidden="false" customHeight="true" outlineLevel="0" collapsed="false">
      <c r="A23" s="21" t="s">
        <v>90</v>
      </c>
      <c r="B23" s="21" t="s">
        <v>91</v>
      </c>
      <c r="C23" s="21" t="s">
        <v>212</v>
      </c>
      <c r="D23" s="21" t="s">
        <v>213</v>
      </c>
      <c r="E23" s="21" t="s">
        <v>214</v>
      </c>
      <c r="F23" s="21" t="s">
        <v>215</v>
      </c>
      <c r="G23" s="21" t="s">
        <v>216</v>
      </c>
      <c r="H23" s="21" t="s">
        <v>217</v>
      </c>
      <c r="I23" s="21" t="s">
        <v>218</v>
      </c>
      <c r="J23" s="21" t="s">
        <v>219</v>
      </c>
      <c r="K23" s="21" t="s">
        <v>15</v>
      </c>
      <c r="L23" s="21" t="s">
        <v>220</v>
      </c>
      <c r="M23" s="21" t="s">
        <v>11</v>
      </c>
      <c r="N23" s="21" t="s">
        <v>18</v>
      </c>
      <c r="O23" s="21" t="s">
        <v>221</v>
      </c>
    </row>
    <row r="24" customFormat="false" ht="15" hidden="false" customHeight="true" outlineLevel="0" collapsed="false">
      <c r="A24" s="34" t="s">
        <v>93</v>
      </c>
      <c r="B24" s="34" t="s">
        <v>91</v>
      </c>
      <c r="C24" s="34" t="s">
        <v>222</v>
      </c>
      <c r="D24" s="34" t="s">
        <v>223</v>
      </c>
      <c r="E24" s="34" t="s">
        <v>256</v>
      </c>
      <c r="F24" s="34" t="s">
        <v>257</v>
      </c>
      <c r="G24" s="34"/>
      <c r="H24" s="34" t="s">
        <v>258</v>
      </c>
      <c r="I24" s="34" t="s">
        <v>259</v>
      </c>
      <c r="J24" s="34" t="s">
        <v>229</v>
      </c>
      <c r="K24" s="34" t="s">
        <v>61</v>
      </c>
      <c r="L24" s="34" t="s">
        <v>220</v>
      </c>
      <c r="M24" s="34" t="s">
        <v>21</v>
      </c>
      <c r="N24" s="34" t="s">
        <v>59</v>
      </c>
      <c r="O24" s="34" t="s">
        <v>260</v>
      </c>
    </row>
    <row r="25" customFormat="false" ht="168.75" hidden="false" customHeight="true" outlineLevel="0" collapsed="false">
      <c r="A25" s="21" t="s">
        <v>95</v>
      </c>
      <c r="B25" s="21" t="s">
        <v>91</v>
      </c>
      <c r="C25" s="21" t="s">
        <v>222</v>
      </c>
      <c r="D25" s="21" t="s">
        <v>223</v>
      </c>
      <c r="E25" s="21" t="s">
        <v>256</v>
      </c>
      <c r="F25" s="21" t="s">
        <v>257</v>
      </c>
      <c r="G25" s="21"/>
      <c r="H25" s="21" t="s">
        <v>261</v>
      </c>
      <c r="I25" s="21" t="s">
        <v>262</v>
      </c>
      <c r="J25" s="21" t="s">
        <v>229</v>
      </c>
      <c r="K25" s="21" t="s">
        <v>65</v>
      </c>
      <c r="L25" s="21" t="s">
        <v>220</v>
      </c>
      <c r="M25" s="21" t="s">
        <v>21</v>
      </c>
      <c r="N25" s="35" t="s">
        <v>63</v>
      </c>
      <c r="O25" s="21" t="s">
        <v>263</v>
      </c>
    </row>
    <row r="26" customFormat="false" ht="15" hidden="false" customHeight="true" outlineLevel="0" collapsed="false">
      <c r="A26" s="32" t="s">
        <v>97</v>
      </c>
      <c r="B26" s="32" t="s">
        <v>91</v>
      </c>
      <c r="C26" s="32" t="s">
        <v>222</v>
      </c>
      <c r="D26" s="32" t="s">
        <v>223</v>
      </c>
      <c r="E26" s="32" t="s">
        <v>275</v>
      </c>
      <c r="F26" s="32" t="s">
        <v>276</v>
      </c>
      <c r="G26" s="32" t="s">
        <v>277</v>
      </c>
      <c r="H26" s="32" t="s">
        <v>278</v>
      </c>
      <c r="I26" s="32" t="s">
        <v>279</v>
      </c>
      <c r="J26" s="32" t="s">
        <v>229</v>
      </c>
      <c r="K26" s="32" t="s">
        <v>100</v>
      </c>
      <c r="L26" s="32" t="s">
        <v>220</v>
      </c>
      <c r="M26" s="32" t="s">
        <v>21</v>
      </c>
      <c r="N26" s="32" t="s">
        <v>98</v>
      </c>
      <c r="O26" s="32" t="s">
        <v>280</v>
      </c>
    </row>
    <row r="27" customFormat="false" ht="15" hidden="false" customHeight="true" outlineLevel="0" collapsed="false">
      <c r="A27" s="26" t="s">
        <v>101</v>
      </c>
      <c r="B27" s="26" t="s">
        <v>91</v>
      </c>
      <c r="C27" s="26" t="s">
        <v>222</v>
      </c>
      <c r="D27" s="26" t="s">
        <v>223</v>
      </c>
      <c r="E27" s="26" t="s">
        <v>264</v>
      </c>
      <c r="F27" s="26" t="s">
        <v>265</v>
      </c>
      <c r="G27" s="26"/>
      <c r="H27" s="26" t="s">
        <v>266</v>
      </c>
      <c r="I27" s="26" t="s">
        <v>267</v>
      </c>
      <c r="J27" s="26" t="s">
        <v>229</v>
      </c>
      <c r="K27" s="26" t="s">
        <v>70</v>
      </c>
      <c r="L27" s="26" t="s">
        <v>220</v>
      </c>
      <c r="M27" s="26" t="s">
        <v>21</v>
      </c>
      <c r="N27" s="26" t="s">
        <v>67</v>
      </c>
      <c r="O27" s="26" t="s">
        <v>268</v>
      </c>
    </row>
    <row r="28" customFormat="false" ht="247.5" hidden="false" customHeight="true" outlineLevel="0" collapsed="false">
      <c r="A28" s="26" t="s">
        <v>103</v>
      </c>
      <c r="B28" s="26" t="s">
        <v>91</v>
      </c>
      <c r="C28" s="26" t="s">
        <v>232</v>
      </c>
      <c r="D28" s="26" t="s">
        <v>233</v>
      </c>
      <c r="E28" s="26" t="s">
        <v>234</v>
      </c>
      <c r="F28" s="26" t="s">
        <v>235</v>
      </c>
      <c r="G28" s="26" t="s">
        <v>236</v>
      </c>
      <c r="H28" s="26" t="s">
        <v>237</v>
      </c>
      <c r="I28" s="26" t="s">
        <v>238</v>
      </c>
      <c r="J28" s="26" t="s">
        <v>239</v>
      </c>
      <c r="K28" s="26" t="s">
        <v>30</v>
      </c>
      <c r="L28" s="26" t="s">
        <v>220</v>
      </c>
      <c r="M28" s="26" t="s">
        <v>21</v>
      </c>
      <c r="N28" s="27" t="s">
        <v>28</v>
      </c>
      <c r="O28" s="26" t="s">
        <v>240</v>
      </c>
    </row>
    <row r="29" customFormat="false" ht="15" hidden="false" customHeight="true" outlineLevel="0" collapsed="false">
      <c r="A29" s="28" t="s">
        <v>104</v>
      </c>
      <c r="B29" s="28" t="s">
        <v>91</v>
      </c>
      <c r="C29" s="28" t="s">
        <v>232</v>
      </c>
      <c r="D29" s="28" t="s">
        <v>233</v>
      </c>
      <c r="E29" s="28" t="s">
        <v>256</v>
      </c>
      <c r="F29" s="28" t="s">
        <v>257</v>
      </c>
      <c r="G29" s="28"/>
      <c r="H29" s="28" t="s">
        <v>269</v>
      </c>
      <c r="I29" s="28" t="s">
        <v>270</v>
      </c>
      <c r="J29" s="28" t="s">
        <v>239</v>
      </c>
      <c r="K29" s="28" t="s">
        <v>76</v>
      </c>
      <c r="L29" s="28" t="s">
        <v>220</v>
      </c>
      <c r="M29" s="28" t="s">
        <v>21</v>
      </c>
      <c r="N29" s="28" t="s">
        <v>74</v>
      </c>
      <c r="O29" s="28"/>
    </row>
    <row r="30" customFormat="false" ht="15" hidden="false" customHeight="true" outlineLevel="0" collapsed="false">
      <c r="A30" s="28" t="s">
        <v>106</v>
      </c>
      <c r="B30" s="28" t="s">
        <v>91</v>
      </c>
      <c r="C30" s="28" t="s">
        <v>232</v>
      </c>
      <c r="D30" s="28" t="s">
        <v>233</v>
      </c>
      <c r="E30" s="28" t="s">
        <v>234</v>
      </c>
      <c r="F30" s="28" t="s">
        <v>235</v>
      </c>
      <c r="G30" s="28" t="s">
        <v>241</v>
      </c>
      <c r="H30" s="28" t="s">
        <v>242</v>
      </c>
      <c r="I30" s="28" t="s">
        <v>243</v>
      </c>
      <c r="J30" s="28" t="s">
        <v>239</v>
      </c>
      <c r="K30" s="28" t="s">
        <v>34</v>
      </c>
      <c r="L30" s="28" t="s">
        <v>220</v>
      </c>
      <c r="M30" s="28" t="s">
        <v>22</v>
      </c>
      <c r="N30" s="28" t="s">
        <v>32</v>
      </c>
      <c r="O30" s="28" t="s">
        <v>244</v>
      </c>
    </row>
    <row r="31" customFormat="false" ht="15" hidden="false" customHeight="true" outlineLevel="0" collapsed="false">
      <c r="A31" s="31" t="s">
        <v>107</v>
      </c>
      <c r="B31" s="31" t="s">
        <v>91</v>
      </c>
      <c r="C31" s="31" t="s">
        <v>232</v>
      </c>
      <c r="D31" s="31" t="s">
        <v>233</v>
      </c>
      <c r="E31" s="31" t="s">
        <v>234</v>
      </c>
      <c r="F31" s="31" t="s">
        <v>235</v>
      </c>
      <c r="G31" s="31" t="s">
        <v>236</v>
      </c>
      <c r="H31" s="31" t="s">
        <v>242</v>
      </c>
      <c r="I31" s="31" t="s">
        <v>243</v>
      </c>
      <c r="J31" s="31" t="s">
        <v>239</v>
      </c>
      <c r="K31" s="31" t="s">
        <v>38</v>
      </c>
      <c r="L31" s="31" t="s">
        <v>220</v>
      </c>
      <c r="M31" s="31" t="s">
        <v>22</v>
      </c>
      <c r="N31" s="31" t="s">
        <v>36</v>
      </c>
      <c r="O31" s="31" t="s">
        <v>245</v>
      </c>
    </row>
    <row r="32" customFormat="false" ht="15" hidden="false" customHeight="true" outlineLevel="0" collapsed="false">
      <c r="A32" s="32" t="s">
        <v>108</v>
      </c>
      <c r="B32" s="32" t="s">
        <v>91</v>
      </c>
      <c r="C32" s="32" t="s">
        <v>232</v>
      </c>
      <c r="D32" s="32" t="s">
        <v>233</v>
      </c>
      <c r="E32" s="32" t="s">
        <v>234</v>
      </c>
      <c r="F32" s="32" t="s">
        <v>235</v>
      </c>
      <c r="G32" s="32" t="s">
        <v>236</v>
      </c>
      <c r="H32" s="32" t="s">
        <v>246</v>
      </c>
      <c r="I32" s="32" t="s">
        <v>247</v>
      </c>
      <c r="J32" s="32" t="s">
        <v>239</v>
      </c>
      <c r="K32" s="32" t="s">
        <v>42</v>
      </c>
      <c r="L32" s="32" t="s">
        <v>220</v>
      </c>
      <c r="M32" s="32" t="s">
        <v>21</v>
      </c>
      <c r="N32" s="32" t="s">
        <v>40</v>
      </c>
      <c r="O32" s="32" t="s">
        <v>248</v>
      </c>
    </row>
    <row r="33" customFormat="false" ht="15" hidden="false" customHeight="true" outlineLevel="0" collapsed="false">
      <c r="A33" s="23" t="s">
        <v>109</v>
      </c>
      <c r="B33" s="23" t="s">
        <v>91</v>
      </c>
      <c r="C33" s="23" t="s">
        <v>232</v>
      </c>
      <c r="D33" s="23" t="s">
        <v>233</v>
      </c>
      <c r="E33" s="23" t="s">
        <v>281</v>
      </c>
      <c r="F33" s="23" t="s">
        <v>282</v>
      </c>
      <c r="G33" s="23" t="s">
        <v>283</v>
      </c>
      <c r="H33" s="23" t="s">
        <v>284</v>
      </c>
      <c r="I33" s="23" t="s">
        <v>285</v>
      </c>
      <c r="J33" s="23" t="s">
        <v>239</v>
      </c>
      <c r="K33" s="23" t="s">
        <v>112</v>
      </c>
      <c r="L33" s="23" t="s">
        <v>230</v>
      </c>
      <c r="M33" s="23" t="s">
        <v>22</v>
      </c>
      <c r="N33" s="23" t="s">
        <v>110</v>
      </c>
      <c r="O33" s="23" t="s">
        <v>286</v>
      </c>
    </row>
    <row r="34" customFormat="false" ht="15" hidden="false" customHeight="true" outlineLevel="0" collapsed="false">
      <c r="A34" s="31" t="s">
        <v>113</v>
      </c>
      <c r="B34" s="31" t="s">
        <v>91</v>
      </c>
      <c r="C34" s="31" t="s">
        <v>232</v>
      </c>
      <c r="D34" s="31" t="s">
        <v>233</v>
      </c>
      <c r="E34" s="31" t="s">
        <v>264</v>
      </c>
      <c r="F34" s="31" t="s">
        <v>265</v>
      </c>
      <c r="G34" s="31" t="s">
        <v>271</v>
      </c>
      <c r="H34" s="31" t="s">
        <v>272</v>
      </c>
      <c r="I34" s="31" t="s">
        <v>273</v>
      </c>
      <c r="J34" s="31" t="s">
        <v>239</v>
      </c>
      <c r="K34" s="31" t="s">
        <v>87</v>
      </c>
      <c r="L34" s="31" t="s">
        <v>220</v>
      </c>
      <c r="M34" s="31" t="s">
        <v>21</v>
      </c>
      <c r="N34" s="31" t="s">
        <v>84</v>
      </c>
      <c r="O34" s="31" t="s">
        <v>274</v>
      </c>
    </row>
    <row r="35" customFormat="false" ht="15" hidden="false" customHeight="true" outlineLevel="0" collapsed="false">
      <c r="A35" s="33" t="s">
        <v>115</v>
      </c>
      <c r="B35" s="33" t="s">
        <v>91</v>
      </c>
      <c r="C35" s="33" t="s">
        <v>232</v>
      </c>
      <c r="D35" s="33" t="s">
        <v>233</v>
      </c>
      <c r="E35" s="33" t="s">
        <v>275</v>
      </c>
      <c r="F35" s="33" t="s">
        <v>276</v>
      </c>
      <c r="G35" s="33" t="s">
        <v>287</v>
      </c>
      <c r="H35" s="33" t="s">
        <v>272</v>
      </c>
      <c r="I35" s="33" t="s">
        <v>273</v>
      </c>
      <c r="J35" s="33" t="s">
        <v>239</v>
      </c>
      <c r="K35" s="33" t="s">
        <v>119</v>
      </c>
      <c r="L35" s="33" t="s">
        <v>220</v>
      </c>
      <c r="M35" s="33" t="s">
        <v>21</v>
      </c>
      <c r="N35" s="33" t="s">
        <v>116</v>
      </c>
      <c r="O35" s="33"/>
    </row>
    <row r="36" customFormat="false" ht="15" hidden="false" customHeight="true" outlineLevel="0" collapsed="false">
      <c r="A36" s="33" t="s">
        <v>120</v>
      </c>
      <c r="B36" s="33" t="s">
        <v>91</v>
      </c>
      <c r="C36" s="33" t="s">
        <v>232</v>
      </c>
      <c r="D36" s="33" t="s">
        <v>233</v>
      </c>
      <c r="E36" s="33" t="s">
        <v>234</v>
      </c>
      <c r="F36" s="33" t="s">
        <v>235</v>
      </c>
      <c r="G36" s="33" t="s">
        <v>241</v>
      </c>
      <c r="H36" s="33" t="s">
        <v>250</v>
      </c>
      <c r="I36" s="33" t="s">
        <v>251</v>
      </c>
      <c r="J36" s="33" t="s">
        <v>239</v>
      </c>
      <c r="K36" s="33" t="s">
        <v>54</v>
      </c>
      <c r="L36" s="33" t="s">
        <v>220</v>
      </c>
      <c r="M36" s="33" t="s">
        <v>22</v>
      </c>
      <c r="N36" s="33" t="s">
        <v>52</v>
      </c>
      <c r="O36" s="33"/>
    </row>
    <row r="37" customFormat="false" ht="23.25" hidden="false" customHeight="true" outlineLevel="0" collapsed="false">
      <c r="A37" s="23" t="s">
        <v>121</v>
      </c>
      <c r="B37" s="23" t="s">
        <v>122</v>
      </c>
      <c r="C37" s="23" t="s">
        <v>212</v>
      </c>
      <c r="D37" s="23" t="s">
        <v>213</v>
      </c>
      <c r="E37" s="23" t="s">
        <v>288</v>
      </c>
      <c r="F37" s="23" t="s">
        <v>289</v>
      </c>
      <c r="G37" s="23" t="s">
        <v>290</v>
      </c>
      <c r="H37" s="23" t="s">
        <v>291</v>
      </c>
      <c r="I37" s="23" t="s">
        <v>292</v>
      </c>
      <c r="J37" s="23" t="s">
        <v>219</v>
      </c>
      <c r="K37" s="23" t="s">
        <v>125</v>
      </c>
      <c r="L37" s="23" t="s">
        <v>230</v>
      </c>
      <c r="M37" s="23" t="s">
        <v>21</v>
      </c>
      <c r="N37" s="23" t="s">
        <v>123</v>
      </c>
      <c r="O37" s="23" t="s">
        <v>293</v>
      </c>
    </row>
    <row r="38" customFormat="false" ht="15" hidden="false" customHeight="true" outlineLevel="0" collapsed="false">
      <c r="A38" s="34" t="s">
        <v>126</v>
      </c>
      <c r="B38" s="34" t="s">
        <v>122</v>
      </c>
      <c r="C38" s="34" t="s">
        <v>222</v>
      </c>
      <c r="D38" s="34" t="s">
        <v>223</v>
      </c>
      <c r="E38" s="34" t="s">
        <v>294</v>
      </c>
      <c r="F38" s="34" t="s">
        <v>295</v>
      </c>
      <c r="G38" s="34"/>
      <c r="H38" s="34" t="s">
        <v>296</v>
      </c>
      <c r="I38" s="34" t="s">
        <v>297</v>
      </c>
      <c r="J38" s="34" t="s">
        <v>229</v>
      </c>
      <c r="K38" s="34" t="s">
        <v>129</v>
      </c>
      <c r="L38" s="34" t="s">
        <v>220</v>
      </c>
      <c r="M38" s="34" t="s">
        <v>21</v>
      </c>
      <c r="N38" s="34" t="s">
        <v>127</v>
      </c>
      <c r="O38" s="34" t="s">
        <v>298</v>
      </c>
    </row>
    <row r="39" customFormat="false" ht="258.75" hidden="false" customHeight="true" outlineLevel="0" collapsed="false">
      <c r="A39" s="21" t="s">
        <v>130</v>
      </c>
      <c r="B39" s="21" t="s">
        <v>122</v>
      </c>
      <c r="C39" s="21" t="s">
        <v>222</v>
      </c>
      <c r="D39" s="21" t="s">
        <v>223</v>
      </c>
      <c r="E39" s="21" t="s">
        <v>299</v>
      </c>
      <c r="F39" s="21" t="s">
        <v>300</v>
      </c>
      <c r="G39" s="21"/>
      <c r="H39" s="21" t="s">
        <v>301</v>
      </c>
      <c r="I39" s="21" t="s">
        <v>302</v>
      </c>
      <c r="J39" s="21" t="s">
        <v>229</v>
      </c>
      <c r="K39" s="21" t="s">
        <v>133</v>
      </c>
      <c r="L39" s="21" t="s">
        <v>220</v>
      </c>
      <c r="M39" s="21" t="s">
        <v>11</v>
      </c>
      <c r="N39" s="35" t="s">
        <v>131</v>
      </c>
      <c r="O39" s="21" t="s">
        <v>303</v>
      </c>
    </row>
    <row r="40" customFormat="false" ht="15" hidden="false" customHeight="true" outlineLevel="0" collapsed="false">
      <c r="A40" s="23" t="s">
        <v>134</v>
      </c>
      <c r="B40" s="23" t="s">
        <v>122</v>
      </c>
      <c r="C40" s="23" t="s">
        <v>304</v>
      </c>
      <c r="D40" s="23" t="s">
        <v>305</v>
      </c>
      <c r="E40" s="23" t="s">
        <v>288</v>
      </c>
      <c r="F40" s="23" t="s">
        <v>289</v>
      </c>
      <c r="G40" s="23" t="s">
        <v>306</v>
      </c>
      <c r="H40" s="23" t="s">
        <v>307</v>
      </c>
      <c r="I40" s="23" t="s">
        <v>308</v>
      </c>
      <c r="J40" s="23" t="s">
        <v>309</v>
      </c>
      <c r="K40" s="23" t="s">
        <v>137</v>
      </c>
      <c r="L40" s="23" t="s">
        <v>230</v>
      </c>
      <c r="M40" s="23" t="s">
        <v>21</v>
      </c>
      <c r="N40" s="23" t="s">
        <v>135</v>
      </c>
      <c r="O40" s="23"/>
    </row>
    <row r="41" customFormat="false" ht="15" hidden="false" customHeight="true" outlineLevel="0" collapsed="false">
      <c r="A41" s="26" t="s">
        <v>138</v>
      </c>
      <c r="B41" s="26" t="s">
        <v>122</v>
      </c>
      <c r="C41" s="26" t="s">
        <v>310</v>
      </c>
      <c r="D41" s="26" t="s">
        <v>311</v>
      </c>
      <c r="E41" s="26" t="s">
        <v>312</v>
      </c>
      <c r="F41" s="26" t="s">
        <v>313</v>
      </c>
      <c r="G41" s="26" t="s">
        <v>314</v>
      </c>
      <c r="H41" s="26" t="s">
        <v>315</v>
      </c>
      <c r="I41" s="26" t="s">
        <v>316</v>
      </c>
      <c r="J41" s="26" t="s">
        <v>317</v>
      </c>
      <c r="K41" s="26" t="s">
        <v>141</v>
      </c>
      <c r="L41" s="26" t="s">
        <v>220</v>
      </c>
      <c r="M41" s="26" t="s">
        <v>22</v>
      </c>
      <c r="N41" s="26" t="s">
        <v>139</v>
      </c>
      <c r="O41" s="26" t="s">
        <v>286</v>
      </c>
    </row>
    <row r="42" customFormat="false" ht="15" hidden="false" customHeight="true" outlineLevel="0" collapsed="false">
      <c r="A42" s="28" t="s">
        <v>142</v>
      </c>
      <c r="B42" s="28" t="s">
        <v>122</v>
      </c>
      <c r="C42" s="28" t="s">
        <v>310</v>
      </c>
      <c r="D42" s="28" t="s">
        <v>311</v>
      </c>
      <c r="E42" s="28" t="s">
        <v>294</v>
      </c>
      <c r="F42" s="28" t="s">
        <v>295</v>
      </c>
      <c r="G42" s="28"/>
      <c r="H42" s="28" t="s">
        <v>318</v>
      </c>
      <c r="I42" s="28" t="s">
        <v>319</v>
      </c>
      <c r="J42" s="28" t="s">
        <v>317</v>
      </c>
      <c r="K42" s="28" t="s">
        <v>145</v>
      </c>
      <c r="L42" s="28" t="s">
        <v>220</v>
      </c>
      <c r="M42" s="28" t="s">
        <v>21</v>
      </c>
      <c r="N42" s="28" t="s">
        <v>143</v>
      </c>
      <c r="O42" s="28"/>
    </row>
    <row r="43" customFormat="false" ht="15" hidden="false" customHeight="true" outlineLevel="0" collapsed="false">
      <c r="A43" s="34" t="s">
        <v>146</v>
      </c>
      <c r="B43" s="34" t="s">
        <v>147</v>
      </c>
      <c r="C43" s="34" t="s">
        <v>222</v>
      </c>
      <c r="D43" s="34" t="s">
        <v>223</v>
      </c>
      <c r="E43" s="34" t="s">
        <v>294</v>
      </c>
      <c r="F43" s="34" t="s">
        <v>295</v>
      </c>
      <c r="G43" s="34"/>
      <c r="H43" s="34" t="s">
        <v>296</v>
      </c>
      <c r="I43" s="34" t="s">
        <v>297</v>
      </c>
      <c r="J43" s="34" t="s">
        <v>229</v>
      </c>
      <c r="K43" s="34" t="s">
        <v>129</v>
      </c>
      <c r="L43" s="34" t="s">
        <v>220</v>
      </c>
      <c r="M43" s="34" t="s">
        <v>21</v>
      </c>
      <c r="N43" s="34" t="s">
        <v>127</v>
      </c>
      <c r="O43" s="34" t="s">
        <v>298</v>
      </c>
    </row>
    <row r="44" customFormat="false" ht="15" hidden="false" customHeight="true" outlineLevel="0" collapsed="false">
      <c r="A44" s="28" t="s">
        <v>149</v>
      </c>
      <c r="B44" s="28" t="s">
        <v>147</v>
      </c>
      <c r="C44" s="28" t="s">
        <v>310</v>
      </c>
      <c r="D44" s="28" t="s">
        <v>311</v>
      </c>
      <c r="E44" s="28" t="s">
        <v>294</v>
      </c>
      <c r="F44" s="28" t="s">
        <v>295</v>
      </c>
      <c r="G44" s="28"/>
      <c r="H44" s="28" t="s">
        <v>318</v>
      </c>
      <c r="I44" s="28" t="s">
        <v>319</v>
      </c>
      <c r="J44" s="28" t="s">
        <v>317</v>
      </c>
      <c r="K44" s="28" t="s">
        <v>145</v>
      </c>
      <c r="L44" s="28" t="s">
        <v>220</v>
      </c>
      <c r="M44" s="28" t="s">
        <v>21</v>
      </c>
      <c r="N44" s="28" t="s">
        <v>143</v>
      </c>
      <c r="O44" s="28"/>
    </row>
    <row r="45" customFormat="false" ht="15" hidden="false" customHeight="true" outlineLevel="0" collapsed="false">
      <c r="A45" s="23" t="s">
        <v>151</v>
      </c>
      <c r="B45" s="23" t="s">
        <v>147</v>
      </c>
      <c r="C45" s="23" t="s">
        <v>232</v>
      </c>
      <c r="D45" s="23" t="s">
        <v>233</v>
      </c>
      <c r="E45" s="23" t="s">
        <v>320</v>
      </c>
      <c r="F45" s="23" t="s">
        <v>321</v>
      </c>
      <c r="G45" s="23"/>
      <c r="H45" s="23" t="s">
        <v>322</v>
      </c>
      <c r="I45" s="23" t="s">
        <v>323</v>
      </c>
      <c r="J45" s="23" t="s">
        <v>239</v>
      </c>
      <c r="K45" s="23" t="s">
        <v>154</v>
      </c>
      <c r="L45" s="23" t="s">
        <v>230</v>
      </c>
      <c r="M45" s="23" t="s">
        <v>22</v>
      </c>
      <c r="N45" s="23" t="s">
        <v>152</v>
      </c>
      <c r="O45" s="23" t="s">
        <v>286</v>
      </c>
    </row>
    <row r="46" customFormat="false" ht="15" hidden="false" customHeight="true" outlineLevel="0" collapsed="false">
      <c r="A46" s="32" t="s">
        <v>155</v>
      </c>
      <c r="B46" s="32" t="s">
        <v>156</v>
      </c>
      <c r="C46" s="32" t="s">
        <v>222</v>
      </c>
      <c r="D46" s="32" t="s">
        <v>223</v>
      </c>
      <c r="E46" s="32" t="s">
        <v>275</v>
      </c>
      <c r="F46" s="32" t="s">
        <v>276</v>
      </c>
      <c r="G46" s="32" t="s">
        <v>277</v>
      </c>
      <c r="H46" s="32" t="s">
        <v>278</v>
      </c>
      <c r="I46" s="32" t="s">
        <v>279</v>
      </c>
      <c r="J46" s="32" t="s">
        <v>229</v>
      </c>
      <c r="K46" s="32" t="s">
        <v>100</v>
      </c>
      <c r="L46" s="32" t="s">
        <v>220</v>
      </c>
      <c r="M46" s="32" t="s">
        <v>21</v>
      </c>
      <c r="N46" s="32" t="s">
        <v>98</v>
      </c>
      <c r="O46" s="32" t="s">
        <v>280</v>
      </c>
    </row>
    <row r="47" customFormat="false" ht="15" hidden="false" customHeight="true" outlineLevel="0" collapsed="false">
      <c r="A47" s="23" t="s">
        <v>158</v>
      </c>
      <c r="B47" s="23" t="s">
        <v>156</v>
      </c>
      <c r="C47" s="23" t="s">
        <v>222</v>
      </c>
      <c r="D47" s="23" t="s">
        <v>223</v>
      </c>
      <c r="E47" s="23" t="s">
        <v>324</v>
      </c>
      <c r="F47" s="23" t="s">
        <v>325</v>
      </c>
      <c r="G47" s="23"/>
      <c r="H47" s="23" t="s">
        <v>278</v>
      </c>
      <c r="I47" s="23" t="s">
        <v>279</v>
      </c>
      <c r="J47" s="23" t="s">
        <v>229</v>
      </c>
      <c r="K47" s="23" t="s">
        <v>161</v>
      </c>
      <c r="L47" s="23" t="s">
        <v>230</v>
      </c>
      <c r="M47" s="23" t="s">
        <v>21</v>
      </c>
      <c r="N47" s="23" t="s">
        <v>159</v>
      </c>
      <c r="O47" s="23" t="s">
        <v>280</v>
      </c>
    </row>
    <row r="48" customFormat="false" ht="15" hidden="false" customHeight="true" outlineLevel="0" collapsed="false">
      <c r="A48" s="33" t="s">
        <v>162</v>
      </c>
      <c r="B48" s="33" t="s">
        <v>156</v>
      </c>
      <c r="C48" s="33" t="s">
        <v>232</v>
      </c>
      <c r="D48" s="33" t="s">
        <v>233</v>
      </c>
      <c r="E48" s="33" t="s">
        <v>275</v>
      </c>
      <c r="F48" s="33" t="s">
        <v>276</v>
      </c>
      <c r="G48" s="33" t="s">
        <v>287</v>
      </c>
      <c r="H48" s="33" t="s">
        <v>272</v>
      </c>
      <c r="I48" s="33" t="s">
        <v>273</v>
      </c>
      <c r="J48" s="33" t="s">
        <v>239</v>
      </c>
      <c r="K48" s="33" t="s">
        <v>119</v>
      </c>
      <c r="L48" s="33" t="s">
        <v>220</v>
      </c>
      <c r="M48" s="33" t="s">
        <v>21</v>
      </c>
      <c r="N48" s="33" t="s">
        <v>116</v>
      </c>
      <c r="O48" s="33"/>
    </row>
    <row r="49" customFormat="false" ht="15" hidden="false" customHeight="true" outlineLevel="0" collapsed="false">
      <c r="A49" s="23" t="s">
        <v>164</v>
      </c>
      <c r="B49" s="23" t="s">
        <v>165</v>
      </c>
      <c r="C49" s="23" t="s">
        <v>222</v>
      </c>
      <c r="D49" s="23" t="s">
        <v>223</v>
      </c>
      <c r="E49" s="23" t="s">
        <v>326</v>
      </c>
      <c r="F49" s="23" t="s">
        <v>327</v>
      </c>
      <c r="G49" s="23"/>
      <c r="H49" s="23" t="s">
        <v>278</v>
      </c>
      <c r="I49" s="23" t="s">
        <v>279</v>
      </c>
      <c r="J49" s="23" t="s">
        <v>229</v>
      </c>
      <c r="K49" s="23" t="s">
        <v>169</v>
      </c>
      <c r="L49" s="23" t="s">
        <v>230</v>
      </c>
      <c r="M49" s="23" t="s">
        <v>21</v>
      </c>
      <c r="N49" s="23" t="s">
        <v>166</v>
      </c>
      <c r="O49" s="23" t="s">
        <v>328</v>
      </c>
    </row>
    <row r="50" customFormat="false" ht="258.75" hidden="false" customHeight="true" outlineLevel="0" collapsed="false">
      <c r="A50" s="21" t="s">
        <v>170</v>
      </c>
      <c r="B50" s="21" t="s">
        <v>165</v>
      </c>
      <c r="C50" s="21" t="s">
        <v>222</v>
      </c>
      <c r="D50" s="21" t="s">
        <v>223</v>
      </c>
      <c r="E50" s="21" t="s">
        <v>299</v>
      </c>
      <c r="F50" s="21" t="s">
        <v>300</v>
      </c>
      <c r="G50" s="21"/>
      <c r="H50" s="21" t="s">
        <v>301</v>
      </c>
      <c r="I50" s="21" t="s">
        <v>302</v>
      </c>
      <c r="J50" s="21" t="s">
        <v>229</v>
      </c>
      <c r="K50" s="21" t="s">
        <v>133</v>
      </c>
      <c r="L50" s="21" t="s">
        <v>220</v>
      </c>
      <c r="M50" s="21" t="s">
        <v>11</v>
      </c>
      <c r="N50" s="35" t="s">
        <v>131</v>
      </c>
      <c r="O50" s="21" t="s">
        <v>303</v>
      </c>
    </row>
    <row r="51" customFormat="false" ht="15" hidden="false" customHeight="true" outlineLevel="0" collapsed="false">
      <c r="A51" s="23" t="s">
        <v>172</v>
      </c>
      <c r="B51" s="23" t="s">
        <v>165</v>
      </c>
      <c r="C51" s="23" t="s">
        <v>304</v>
      </c>
      <c r="D51" s="23" t="s">
        <v>305</v>
      </c>
      <c r="E51" s="23" t="s">
        <v>329</v>
      </c>
      <c r="F51" s="23" t="s">
        <v>330</v>
      </c>
      <c r="G51" s="23"/>
      <c r="H51" s="23" t="s">
        <v>307</v>
      </c>
      <c r="I51" s="23" t="s">
        <v>308</v>
      </c>
      <c r="J51" s="23" t="s">
        <v>309</v>
      </c>
      <c r="K51" s="23" t="s">
        <v>175</v>
      </c>
      <c r="L51" s="23" t="s">
        <v>230</v>
      </c>
      <c r="M51" s="23" t="s">
        <v>11</v>
      </c>
      <c r="N51" s="23" t="s">
        <v>173</v>
      </c>
      <c r="O51" s="23" t="s">
        <v>331</v>
      </c>
    </row>
    <row r="52" customFormat="false" ht="15" hidden="false" customHeight="true" outlineLevel="0" collapsed="false">
      <c r="A52" s="26" t="s">
        <v>176</v>
      </c>
      <c r="B52" s="26" t="s">
        <v>165</v>
      </c>
      <c r="C52" s="26" t="s">
        <v>310</v>
      </c>
      <c r="D52" s="26" t="s">
        <v>311</v>
      </c>
      <c r="E52" s="26" t="s">
        <v>312</v>
      </c>
      <c r="F52" s="26" t="s">
        <v>313</v>
      </c>
      <c r="G52" s="26" t="s">
        <v>314</v>
      </c>
      <c r="H52" s="26" t="s">
        <v>315</v>
      </c>
      <c r="I52" s="26" t="s">
        <v>316</v>
      </c>
      <c r="J52" s="26" t="s">
        <v>317</v>
      </c>
      <c r="K52" s="26" t="s">
        <v>141</v>
      </c>
      <c r="L52" s="26" t="s">
        <v>220</v>
      </c>
      <c r="M52" s="26" t="s">
        <v>22</v>
      </c>
      <c r="N52" s="26" t="s">
        <v>139</v>
      </c>
      <c r="O52" s="26" t="s">
        <v>286</v>
      </c>
    </row>
  </sheetData>
  <autoFilter ref="A1:O52"/>
  <dataValidations count="1">
    <dataValidation allowBlank="true" errorStyle="stop" operator="equal" showDropDown="false" showErrorMessage="false" showInputMessage="false" sqref="M2:M52" type="list">
      <formula1>"Confirmed,Plausible,No supporting evidence found"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4"/>
  <sheetViews>
    <sheetView showFormulas="false" showGridLines="true" showRowColHeaders="true" showZeros="true" rightToLeft="false" tabSelected="true" showOutlineSymbols="true" defaultGridColor="true" view="normal" topLeftCell="M1" colorId="64" zoomScale="90" zoomScaleNormal="90" zoomScalePageLayoutView="100" workbookViewId="0">
      <pane xSplit="0" ySplit="1" topLeftCell="A5" activePane="bottomLeft" state="frozen"/>
      <selection pane="topLeft" activeCell="M1" activeCellId="0" sqref="M1"/>
      <selection pane="bottomLeft" activeCell="N15" activeCellId="0" sqref="N15"/>
    </sheetView>
  </sheetViews>
  <sheetFormatPr defaultColWidth="8.6796875" defaultRowHeight="14.25" zeroHeight="false" outlineLevelRow="0" outlineLevelCol="0"/>
  <cols>
    <col collapsed="false" customWidth="true" hidden="false" outlineLevel="0" max="1" min="1" style="17" width="10"/>
    <col collapsed="false" customWidth="true" hidden="false" outlineLevel="0" max="2" min="2" style="17" width="22"/>
    <col collapsed="false" customWidth="true" hidden="false" outlineLevel="0" max="3" min="3" style="17" width="10"/>
    <col collapsed="false" customWidth="true" hidden="false" outlineLevel="0" max="4" min="4" style="17" width="55"/>
    <col collapsed="false" customWidth="true" hidden="false" outlineLevel="0" max="5" min="5" style="17" width="11"/>
    <col collapsed="false" customWidth="true" hidden="false" outlineLevel="0" max="6" min="6" style="17" width="39"/>
    <col collapsed="false" customWidth="true" hidden="false" outlineLevel="0" max="7" min="7" style="17" width="60"/>
    <col collapsed="false" customWidth="true" hidden="false" outlineLevel="0" max="8" min="8" style="17" width="11"/>
    <col collapsed="false" customWidth="true" hidden="false" outlineLevel="0" max="10" min="9" style="17" width="60"/>
    <col collapsed="false" customWidth="true" hidden="false" outlineLevel="0" max="11" min="11" style="17" width="35"/>
    <col collapsed="false" customWidth="true" hidden="false" outlineLevel="0" max="12" min="12" style="17" width="21"/>
    <col collapsed="false" customWidth="true" hidden="false" outlineLevel="0" max="13" min="13" style="17" width="24.11"/>
    <col collapsed="false" customWidth="true" hidden="false" outlineLevel="0" max="14" min="14" style="17" width="44.66"/>
    <col collapsed="false" customWidth="true" hidden="false" outlineLevel="0" max="15" min="15" style="17" width="52.88"/>
    <col collapsed="false" customWidth="true" hidden="false" outlineLevel="0" max="16384" min="16384" style="1" width="11.53"/>
  </cols>
  <sheetData>
    <row r="1" customFormat="false" ht="25.5" hidden="false" customHeight="true" outlineLevel="0" collapsed="false">
      <c r="A1" s="36" t="s">
        <v>0</v>
      </c>
      <c r="B1" s="36" t="s">
        <v>1</v>
      </c>
      <c r="C1" s="36" t="s">
        <v>200</v>
      </c>
      <c r="D1" s="36" t="s">
        <v>201</v>
      </c>
      <c r="E1" s="36" t="s">
        <v>202</v>
      </c>
      <c r="F1" s="36" t="s">
        <v>203</v>
      </c>
      <c r="G1" s="36" t="s">
        <v>204</v>
      </c>
      <c r="H1" s="36" t="s">
        <v>205</v>
      </c>
      <c r="I1" s="36" t="s">
        <v>206</v>
      </c>
      <c r="J1" s="36" t="s">
        <v>207</v>
      </c>
      <c r="K1" s="36" t="s">
        <v>8</v>
      </c>
      <c r="L1" s="36" t="s">
        <v>208</v>
      </c>
      <c r="M1" s="19" t="s">
        <v>209</v>
      </c>
      <c r="N1" s="36" t="s">
        <v>210</v>
      </c>
      <c r="O1" s="36" t="s">
        <v>211</v>
      </c>
    </row>
    <row r="2" customFormat="false" ht="68.25" hidden="false" customHeight="true" outlineLevel="0" collapsed="false">
      <c r="A2" s="37" t="s">
        <v>9</v>
      </c>
      <c r="B2" s="37" t="s">
        <v>10</v>
      </c>
      <c r="C2" s="37" t="s">
        <v>212</v>
      </c>
      <c r="D2" s="37" t="s">
        <v>213</v>
      </c>
      <c r="E2" s="37" t="s">
        <v>214</v>
      </c>
      <c r="F2" s="37" t="s">
        <v>215</v>
      </c>
      <c r="G2" s="37" t="s">
        <v>216</v>
      </c>
      <c r="H2" s="37" t="s">
        <v>217</v>
      </c>
      <c r="I2" s="37" t="s">
        <v>218</v>
      </c>
      <c r="J2" s="37" t="s">
        <v>219</v>
      </c>
      <c r="K2" s="37" t="s">
        <v>15</v>
      </c>
      <c r="L2" s="37" t="s">
        <v>220</v>
      </c>
      <c r="M2" s="23" t="s">
        <v>11</v>
      </c>
      <c r="N2" s="37" t="s">
        <v>13</v>
      </c>
      <c r="O2" s="37" t="s">
        <v>332</v>
      </c>
    </row>
    <row r="3" customFormat="false" ht="45.75" hidden="false" customHeight="true" outlineLevel="0" collapsed="false">
      <c r="A3" s="37" t="s">
        <v>16</v>
      </c>
      <c r="B3" s="37" t="s">
        <v>17</v>
      </c>
      <c r="C3" s="37" t="s">
        <v>212</v>
      </c>
      <c r="D3" s="37" t="s">
        <v>213</v>
      </c>
      <c r="E3" s="37" t="s">
        <v>214</v>
      </c>
      <c r="F3" s="37" t="s">
        <v>215</v>
      </c>
      <c r="G3" s="37" t="s">
        <v>216</v>
      </c>
      <c r="H3" s="37" t="s">
        <v>217</v>
      </c>
      <c r="I3" s="37" t="s">
        <v>218</v>
      </c>
      <c r="J3" s="37" t="s">
        <v>219</v>
      </c>
      <c r="K3" s="37" t="s">
        <v>15</v>
      </c>
      <c r="L3" s="37" t="s">
        <v>220</v>
      </c>
      <c r="M3" s="23" t="s">
        <v>11</v>
      </c>
      <c r="N3" s="37" t="s">
        <v>19</v>
      </c>
      <c r="O3" s="37" t="s">
        <v>333</v>
      </c>
    </row>
    <row r="4" customFormat="false" ht="68.25" hidden="false" customHeight="true" outlineLevel="0" collapsed="false">
      <c r="A4" s="38" t="s">
        <v>20</v>
      </c>
      <c r="B4" s="38" t="s">
        <v>17</v>
      </c>
      <c r="C4" s="38" t="s">
        <v>222</v>
      </c>
      <c r="D4" s="38" t="s">
        <v>223</v>
      </c>
      <c r="E4" s="38" t="s">
        <v>224</v>
      </c>
      <c r="F4" s="38" t="s">
        <v>225</v>
      </c>
      <c r="G4" s="38" t="s">
        <v>226</v>
      </c>
      <c r="H4" s="38" t="s">
        <v>227</v>
      </c>
      <c r="I4" s="38" t="s">
        <v>228</v>
      </c>
      <c r="J4" s="38" t="s">
        <v>229</v>
      </c>
      <c r="K4" s="38" t="s">
        <v>26</v>
      </c>
      <c r="L4" s="38" t="s">
        <v>230</v>
      </c>
      <c r="M4" s="23" t="s">
        <v>22</v>
      </c>
      <c r="N4" s="39" t="s">
        <v>24</v>
      </c>
      <c r="O4" s="38" t="s">
        <v>334</v>
      </c>
    </row>
    <row r="5" customFormat="false" ht="57" hidden="false" customHeight="true" outlineLevel="0" collapsed="false">
      <c r="A5" s="40" t="s">
        <v>27</v>
      </c>
      <c r="B5" s="40" t="s">
        <v>17</v>
      </c>
      <c r="C5" s="40" t="s">
        <v>232</v>
      </c>
      <c r="D5" s="40" t="s">
        <v>233</v>
      </c>
      <c r="E5" s="40" t="s">
        <v>234</v>
      </c>
      <c r="F5" s="40" t="s">
        <v>235</v>
      </c>
      <c r="G5" s="40" t="s">
        <v>236</v>
      </c>
      <c r="H5" s="40" t="s">
        <v>237</v>
      </c>
      <c r="I5" s="40" t="s">
        <v>238</v>
      </c>
      <c r="J5" s="40" t="s">
        <v>239</v>
      </c>
      <c r="K5" s="40" t="s">
        <v>30</v>
      </c>
      <c r="L5" s="40" t="s">
        <v>220</v>
      </c>
      <c r="M5" s="23" t="s">
        <v>21</v>
      </c>
      <c r="N5" s="40" t="s">
        <v>29</v>
      </c>
      <c r="O5" s="40" t="s">
        <v>335</v>
      </c>
    </row>
    <row r="6" customFormat="false" ht="45.75" hidden="false" customHeight="true" outlineLevel="0" collapsed="false">
      <c r="A6" s="41" t="s">
        <v>31</v>
      </c>
      <c r="B6" s="41" t="s">
        <v>17</v>
      </c>
      <c r="C6" s="41" t="s">
        <v>232</v>
      </c>
      <c r="D6" s="41" t="s">
        <v>233</v>
      </c>
      <c r="E6" s="41" t="s">
        <v>234</v>
      </c>
      <c r="F6" s="41" t="s">
        <v>235</v>
      </c>
      <c r="G6" s="41" t="s">
        <v>241</v>
      </c>
      <c r="H6" s="41" t="s">
        <v>242</v>
      </c>
      <c r="I6" s="41" t="s">
        <v>243</v>
      </c>
      <c r="J6" s="41" t="s">
        <v>239</v>
      </c>
      <c r="K6" s="41" t="s">
        <v>34</v>
      </c>
      <c r="L6" s="41" t="s">
        <v>220</v>
      </c>
      <c r="M6" s="23" t="s">
        <v>22</v>
      </c>
      <c r="N6" s="41" t="s">
        <v>33</v>
      </c>
      <c r="O6" s="41" t="s">
        <v>336</v>
      </c>
    </row>
    <row r="7" customFormat="false" ht="23.25" hidden="false" customHeight="true" outlineLevel="0" collapsed="false">
      <c r="A7" s="42" t="s">
        <v>35</v>
      </c>
      <c r="B7" s="42" t="s">
        <v>17</v>
      </c>
      <c r="C7" s="42" t="s">
        <v>232</v>
      </c>
      <c r="D7" s="42" t="s">
        <v>233</v>
      </c>
      <c r="E7" s="42" t="s">
        <v>234</v>
      </c>
      <c r="F7" s="42" t="s">
        <v>235</v>
      </c>
      <c r="G7" s="42" t="s">
        <v>236</v>
      </c>
      <c r="H7" s="42" t="s">
        <v>242</v>
      </c>
      <c r="I7" s="42" t="s">
        <v>243</v>
      </c>
      <c r="J7" s="42" t="s">
        <v>239</v>
      </c>
      <c r="K7" s="42" t="s">
        <v>38</v>
      </c>
      <c r="L7" s="42" t="s">
        <v>220</v>
      </c>
      <c r="M7" s="23" t="s">
        <v>22</v>
      </c>
      <c r="N7" s="42" t="s">
        <v>37</v>
      </c>
      <c r="O7" s="42" t="s">
        <v>334</v>
      </c>
    </row>
    <row r="8" customFormat="false" ht="34.5" hidden="false" customHeight="true" outlineLevel="0" collapsed="false">
      <c r="A8" s="43" t="s">
        <v>39</v>
      </c>
      <c r="B8" s="43" t="s">
        <v>17</v>
      </c>
      <c r="C8" s="43" t="s">
        <v>232</v>
      </c>
      <c r="D8" s="43" t="s">
        <v>233</v>
      </c>
      <c r="E8" s="43" t="s">
        <v>234</v>
      </c>
      <c r="F8" s="43" t="s">
        <v>235</v>
      </c>
      <c r="G8" s="43" t="s">
        <v>236</v>
      </c>
      <c r="H8" s="43" t="s">
        <v>246</v>
      </c>
      <c r="I8" s="43" t="s">
        <v>247</v>
      </c>
      <c r="J8" s="43" t="s">
        <v>239</v>
      </c>
      <c r="K8" s="43" t="s">
        <v>42</v>
      </c>
      <c r="L8" s="43" t="s">
        <v>220</v>
      </c>
      <c r="M8" s="23" t="s">
        <v>21</v>
      </c>
      <c r="N8" s="44" t="s">
        <v>41</v>
      </c>
      <c r="O8" s="44"/>
    </row>
    <row r="9" customFormat="false" ht="34.5" hidden="false" customHeight="true" outlineLevel="0" collapsed="false">
      <c r="A9" s="38" t="s">
        <v>43</v>
      </c>
      <c r="B9" s="38" t="s">
        <v>17</v>
      </c>
      <c r="C9" s="38" t="s">
        <v>232</v>
      </c>
      <c r="D9" s="38" t="s">
        <v>233</v>
      </c>
      <c r="E9" s="38" t="s">
        <v>224</v>
      </c>
      <c r="F9" s="38" t="s">
        <v>225</v>
      </c>
      <c r="G9" s="38" t="s">
        <v>249</v>
      </c>
      <c r="H9" s="38" t="s">
        <v>250</v>
      </c>
      <c r="I9" s="38" t="s">
        <v>251</v>
      </c>
      <c r="J9" s="38" t="s">
        <v>239</v>
      </c>
      <c r="K9" s="38" t="s">
        <v>46</v>
      </c>
      <c r="L9" s="38" t="s">
        <v>230</v>
      </c>
      <c r="M9" s="23" t="s">
        <v>22</v>
      </c>
      <c r="N9" s="39" t="s">
        <v>45</v>
      </c>
      <c r="O9" s="39" t="s">
        <v>334</v>
      </c>
    </row>
    <row r="10" customFormat="false" ht="45.75" hidden="false" customHeight="true" outlineLevel="0" collapsed="false">
      <c r="A10" s="38" t="s">
        <v>47</v>
      </c>
      <c r="B10" s="38" t="s">
        <v>17</v>
      </c>
      <c r="C10" s="38" t="s">
        <v>232</v>
      </c>
      <c r="D10" s="38" t="s">
        <v>233</v>
      </c>
      <c r="E10" s="38" t="s">
        <v>253</v>
      </c>
      <c r="F10" s="38" t="s">
        <v>254</v>
      </c>
      <c r="G10" s="38"/>
      <c r="H10" s="38" t="s">
        <v>250</v>
      </c>
      <c r="I10" s="38" t="s">
        <v>251</v>
      </c>
      <c r="J10" s="38" t="s">
        <v>239</v>
      </c>
      <c r="K10" s="38" t="s">
        <v>50</v>
      </c>
      <c r="L10" s="38" t="s">
        <v>230</v>
      </c>
      <c r="M10" s="23" t="s">
        <v>22</v>
      </c>
      <c r="N10" s="39" t="s">
        <v>49</v>
      </c>
      <c r="O10" s="39" t="s">
        <v>334</v>
      </c>
    </row>
    <row r="11" customFormat="false" ht="23.25" hidden="false" customHeight="true" outlineLevel="0" collapsed="false">
      <c r="A11" s="45" t="s">
        <v>51</v>
      </c>
      <c r="B11" s="45" t="s">
        <v>17</v>
      </c>
      <c r="C11" s="45" t="s">
        <v>232</v>
      </c>
      <c r="D11" s="45" t="s">
        <v>233</v>
      </c>
      <c r="E11" s="45" t="s">
        <v>234</v>
      </c>
      <c r="F11" s="45" t="s">
        <v>235</v>
      </c>
      <c r="G11" s="45" t="s">
        <v>241</v>
      </c>
      <c r="H11" s="45" t="s">
        <v>250</v>
      </c>
      <c r="I11" s="45" t="s">
        <v>251</v>
      </c>
      <c r="J11" s="45" t="s">
        <v>239</v>
      </c>
      <c r="K11" s="45" t="s">
        <v>54</v>
      </c>
      <c r="L11" s="45" t="s">
        <v>220</v>
      </c>
      <c r="M11" s="23" t="s">
        <v>22</v>
      </c>
      <c r="N11" s="46" t="s">
        <v>53</v>
      </c>
      <c r="O11" s="46" t="s">
        <v>334</v>
      </c>
    </row>
    <row r="12" customFormat="false" ht="57" hidden="false" customHeight="true" outlineLevel="0" collapsed="false">
      <c r="A12" s="37" t="s">
        <v>55</v>
      </c>
      <c r="B12" s="37" t="s">
        <v>56</v>
      </c>
      <c r="C12" s="37" t="s">
        <v>212</v>
      </c>
      <c r="D12" s="37" t="s">
        <v>213</v>
      </c>
      <c r="E12" s="37" t="s">
        <v>214</v>
      </c>
      <c r="F12" s="37" t="s">
        <v>215</v>
      </c>
      <c r="G12" s="37" t="s">
        <v>216</v>
      </c>
      <c r="H12" s="37" t="s">
        <v>217</v>
      </c>
      <c r="I12" s="37" t="s">
        <v>218</v>
      </c>
      <c r="J12" s="37" t="s">
        <v>219</v>
      </c>
      <c r="K12" s="37" t="s">
        <v>15</v>
      </c>
      <c r="L12" s="37" t="s">
        <v>220</v>
      </c>
      <c r="M12" s="23" t="s">
        <v>11</v>
      </c>
      <c r="N12" s="47" t="s">
        <v>57</v>
      </c>
      <c r="O12" s="47"/>
    </row>
    <row r="13" customFormat="false" ht="45.75" hidden="false" customHeight="true" outlineLevel="0" collapsed="false">
      <c r="A13" s="48" t="s">
        <v>58</v>
      </c>
      <c r="B13" s="48" t="s">
        <v>56</v>
      </c>
      <c r="C13" s="48" t="s">
        <v>222</v>
      </c>
      <c r="D13" s="48" t="s">
        <v>223</v>
      </c>
      <c r="E13" s="48" t="s">
        <v>256</v>
      </c>
      <c r="F13" s="48" t="s">
        <v>257</v>
      </c>
      <c r="G13" s="48"/>
      <c r="H13" s="48" t="s">
        <v>258</v>
      </c>
      <c r="I13" s="48" t="s">
        <v>259</v>
      </c>
      <c r="J13" s="48" t="s">
        <v>229</v>
      </c>
      <c r="K13" s="48" t="s">
        <v>61</v>
      </c>
      <c r="L13" s="48" t="s">
        <v>220</v>
      </c>
      <c r="M13" s="23" t="s">
        <v>21</v>
      </c>
      <c r="N13" s="48" t="s">
        <v>60</v>
      </c>
      <c r="O13" s="49"/>
    </row>
    <row r="14" customFormat="false" ht="34.5" hidden="false" customHeight="true" outlineLevel="0" collapsed="false">
      <c r="A14" s="37" t="s">
        <v>62</v>
      </c>
      <c r="B14" s="37" t="s">
        <v>56</v>
      </c>
      <c r="C14" s="37" t="s">
        <v>222</v>
      </c>
      <c r="D14" s="37" t="s">
        <v>223</v>
      </c>
      <c r="E14" s="37" t="s">
        <v>256</v>
      </c>
      <c r="F14" s="37" t="s">
        <v>257</v>
      </c>
      <c r="G14" s="37"/>
      <c r="H14" s="37" t="s">
        <v>261</v>
      </c>
      <c r="I14" s="37" t="s">
        <v>262</v>
      </c>
      <c r="J14" s="37" t="s">
        <v>229</v>
      </c>
      <c r="K14" s="37" t="s">
        <v>65</v>
      </c>
      <c r="L14" s="37" t="s">
        <v>220</v>
      </c>
      <c r="M14" s="23" t="s">
        <v>21</v>
      </c>
      <c r="N14" s="47" t="s">
        <v>64</v>
      </c>
      <c r="O14" s="47"/>
    </row>
    <row r="15" customFormat="false" ht="45.75" hidden="false" customHeight="true" outlineLevel="0" collapsed="false">
      <c r="A15" s="40" t="s">
        <v>66</v>
      </c>
      <c r="B15" s="40" t="s">
        <v>56</v>
      </c>
      <c r="C15" s="40" t="s">
        <v>222</v>
      </c>
      <c r="D15" s="40" t="s">
        <v>223</v>
      </c>
      <c r="E15" s="40" t="s">
        <v>264</v>
      </c>
      <c r="F15" s="40" t="s">
        <v>265</v>
      </c>
      <c r="G15" s="40"/>
      <c r="H15" s="40" t="s">
        <v>266</v>
      </c>
      <c r="I15" s="40" t="s">
        <v>267</v>
      </c>
      <c r="J15" s="40" t="s">
        <v>229</v>
      </c>
      <c r="K15" s="40" t="s">
        <v>70</v>
      </c>
      <c r="L15" s="40" t="s">
        <v>220</v>
      </c>
      <c r="M15" s="23" t="s">
        <v>22</v>
      </c>
      <c r="N15" s="50" t="s">
        <v>68</v>
      </c>
      <c r="O15" s="50" t="s">
        <v>337</v>
      </c>
    </row>
    <row r="16" customFormat="false" ht="14.25" hidden="false" customHeight="true" outlineLevel="0" collapsed="false">
      <c r="A16" s="40" t="s">
        <v>71</v>
      </c>
      <c r="B16" s="40" t="s">
        <v>56</v>
      </c>
      <c r="C16" s="40" t="s">
        <v>232</v>
      </c>
      <c r="D16" s="40" t="s">
        <v>233</v>
      </c>
      <c r="E16" s="40" t="s">
        <v>234</v>
      </c>
      <c r="F16" s="40" t="s">
        <v>235</v>
      </c>
      <c r="G16" s="40" t="s">
        <v>236</v>
      </c>
      <c r="H16" s="40" t="s">
        <v>237</v>
      </c>
      <c r="I16" s="40" t="s">
        <v>238</v>
      </c>
      <c r="J16" s="40" t="s">
        <v>239</v>
      </c>
      <c r="K16" s="40" t="s">
        <v>30</v>
      </c>
      <c r="L16" s="40" t="s">
        <v>220</v>
      </c>
      <c r="M16" s="23" t="s">
        <v>21</v>
      </c>
      <c r="N16" s="50" t="s">
        <v>72</v>
      </c>
      <c r="O16" s="50"/>
    </row>
    <row r="17" customFormat="false" ht="34.5" hidden="false" customHeight="true" outlineLevel="0" collapsed="false">
      <c r="A17" s="41" t="s">
        <v>73</v>
      </c>
      <c r="B17" s="41" t="s">
        <v>56</v>
      </c>
      <c r="C17" s="41" t="s">
        <v>232</v>
      </c>
      <c r="D17" s="41" t="s">
        <v>233</v>
      </c>
      <c r="E17" s="41" t="s">
        <v>256</v>
      </c>
      <c r="F17" s="41" t="s">
        <v>257</v>
      </c>
      <c r="G17" s="41"/>
      <c r="H17" s="41" t="s">
        <v>269</v>
      </c>
      <c r="I17" s="41" t="s">
        <v>270</v>
      </c>
      <c r="J17" s="41" t="s">
        <v>239</v>
      </c>
      <c r="K17" s="41" t="s">
        <v>76</v>
      </c>
      <c r="L17" s="41" t="s">
        <v>220</v>
      </c>
      <c r="M17" s="23" t="s">
        <v>21</v>
      </c>
      <c r="N17" s="51" t="s">
        <v>75</v>
      </c>
      <c r="O17" s="51"/>
    </row>
    <row r="18" customFormat="false" ht="14.25" hidden="false" customHeight="true" outlineLevel="0" collapsed="false">
      <c r="A18" s="41" t="s">
        <v>77</v>
      </c>
      <c r="B18" s="41" t="s">
        <v>56</v>
      </c>
      <c r="C18" s="41" t="s">
        <v>232</v>
      </c>
      <c r="D18" s="41" t="s">
        <v>233</v>
      </c>
      <c r="E18" s="41" t="s">
        <v>234</v>
      </c>
      <c r="F18" s="41" t="s">
        <v>235</v>
      </c>
      <c r="G18" s="41" t="s">
        <v>241</v>
      </c>
      <c r="H18" s="41" t="s">
        <v>242</v>
      </c>
      <c r="I18" s="41" t="s">
        <v>243</v>
      </c>
      <c r="J18" s="41" t="s">
        <v>239</v>
      </c>
      <c r="K18" s="41" t="s">
        <v>34</v>
      </c>
      <c r="L18" s="41" t="s">
        <v>220</v>
      </c>
      <c r="M18" s="23" t="s">
        <v>22</v>
      </c>
      <c r="N18" s="51" t="s">
        <v>78</v>
      </c>
      <c r="O18" s="51"/>
    </row>
    <row r="19" customFormat="false" ht="14.25" hidden="false" customHeight="true" outlineLevel="0" collapsed="false">
      <c r="A19" s="42" t="s">
        <v>79</v>
      </c>
      <c r="B19" s="42" t="s">
        <v>56</v>
      </c>
      <c r="C19" s="42" t="s">
        <v>232</v>
      </c>
      <c r="D19" s="42" t="s">
        <v>233</v>
      </c>
      <c r="E19" s="42" t="s">
        <v>234</v>
      </c>
      <c r="F19" s="42" t="s">
        <v>235</v>
      </c>
      <c r="G19" s="42" t="s">
        <v>236</v>
      </c>
      <c r="H19" s="42" t="s">
        <v>242</v>
      </c>
      <c r="I19" s="42" t="s">
        <v>243</v>
      </c>
      <c r="J19" s="42" t="s">
        <v>239</v>
      </c>
      <c r="K19" s="42" t="s">
        <v>38</v>
      </c>
      <c r="L19" s="42" t="s">
        <v>220</v>
      </c>
      <c r="M19" s="23" t="s">
        <v>22</v>
      </c>
      <c r="N19" s="52" t="s">
        <v>80</v>
      </c>
      <c r="O19" s="52"/>
    </row>
    <row r="20" customFormat="false" ht="14.25" hidden="false" customHeight="true" outlineLevel="0" collapsed="false">
      <c r="A20" s="43" t="s">
        <v>81</v>
      </c>
      <c r="B20" s="43" t="s">
        <v>56</v>
      </c>
      <c r="C20" s="43" t="s">
        <v>232</v>
      </c>
      <c r="D20" s="43" t="s">
        <v>233</v>
      </c>
      <c r="E20" s="43" t="s">
        <v>234</v>
      </c>
      <c r="F20" s="43" t="s">
        <v>235</v>
      </c>
      <c r="G20" s="43" t="s">
        <v>236</v>
      </c>
      <c r="H20" s="43" t="s">
        <v>246</v>
      </c>
      <c r="I20" s="43" t="s">
        <v>247</v>
      </c>
      <c r="J20" s="43" t="s">
        <v>239</v>
      </c>
      <c r="K20" s="43" t="s">
        <v>42</v>
      </c>
      <c r="L20" s="43" t="s">
        <v>220</v>
      </c>
      <c r="M20" s="23" t="s">
        <v>21</v>
      </c>
      <c r="N20" s="44" t="s">
        <v>82</v>
      </c>
      <c r="O20" s="44"/>
    </row>
    <row r="21" customFormat="false" ht="23.25" hidden="false" customHeight="true" outlineLevel="0" collapsed="false">
      <c r="A21" s="42" t="s">
        <v>83</v>
      </c>
      <c r="B21" s="42" t="s">
        <v>56</v>
      </c>
      <c r="C21" s="42" t="s">
        <v>232</v>
      </c>
      <c r="D21" s="42" t="s">
        <v>233</v>
      </c>
      <c r="E21" s="42" t="s">
        <v>264</v>
      </c>
      <c r="F21" s="42" t="s">
        <v>265</v>
      </c>
      <c r="G21" s="42" t="s">
        <v>271</v>
      </c>
      <c r="H21" s="42" t="s">
        <v>272</v>
      </c>
      <c r="I21" s="42" t="s">
        <v>273</v>
      </c>
      <c r="J21" s="42" t="s">
        <v>239</v>
      </c>
      <c r="K21" s="42" t="s">
        <v>87</v>
      </c>
      <c r="L21" s="42" t="s">
        <v>220</v>
      </c>
      <c r="M21" s="23" t="s">
        <v>22</v>
      </c>
      <c r="N21" s="52" t="s">
        <v>85</v>
      </c>
      <c r="O21" s="52" t="s">
        <v>334</v>
      </c>
    </row>
    <row r="22" customFormat="false" ht="14.25" hidden="false" customHeight="true" outlineLevel="0" collapsed="false">
      <c r="A22" s="45" t="s">
        <v>88</v>
      </c>
      <c r="B22" s="45" t="s">
        <v>56</v>
      </c>
      <c r="C22" s="45" t="s">
        <v>232</v>
      </c>
      <c r="D22" s="45" t="s">
        <v>233</v>
      </c>
      <c r="E22" s="45" t="s">
        <v>234</v>
      </c>
      <c r="F22" s="45" t="s">
        <v>235</v>
      </c>
      <c r="G22" s="45" t="s">
        <v>241</v>
      </c>
      <c r="H22" s="45" t="s">
        <v>250</v>
      </c>
      <c r="I22" s="45" t="s">
        <v>251</v>
      </c>
      <c r="J22" s="45" t="s">
        <v>239</v>
      </c>
      <c r="K22" s="45" t="s">
        <v>54</v>
      </c>
      <c r="L22" s="45" t="s">
        <v>220</v>
      </c>
      <c r="M22" s="23" t="s">
        <v>22</v>
      </c>
      <c r="N22" s="46" t="s">
        <v>89</v>
      </c>
      <c r="O22" s="46" t="s">
        <v>334</v>
      </c>
    </row>
    <row r="23" customFormat="false" ht="23.25" hidden="false" customHeight="true" outlineLevel="0" collapsed="false">
      <c r="A23" s="37" t="s">
        <v>90</v>
      </c>
      <c r="B23" s="37" t="s">
        <v>91</v>
      </c>
      <c r="C23" s="37" t="s">
        <v>212</v>
      </c>
      <c r="D23" s="37" t="s">
        <v>213</v>
      </c>
      <c r="E23" s="37" t="s">
        <v>214</v>
      </c>
      <c r="F23" s="37" t="s">
        <v>215</v>
      </c>
      <c r="G23" s="37" t="s">
        <v>216</v>
      </c>
      <c r="H23" s="37" t="s">
        <v>217</v>
      </c>
      <c r="I23" s="37" t="s">
        <v>218</v>
      </c>
      <c r="J23" s="37" t="s">
        <v>219</v>
      </c>
      <c r="K23" s="37" t="s">
        <v>15</v>
      </c>
      <c r="L23" s="37" t="s">
        <v>220</v>
      </c>
      <c r="M23" s="23" t="s">
        <v>11</v>
      </c>
      <c r="N23" s="47" t="s">
        <v>92</v>
      </c>
      <c r="O23" s="47" t="s">
        <v>338</v>
      </c>
      <c r="P23" s="17"/>
    </row>
    <row r="24" customFormat="false" ht="14.25" hidden="false" customHeight="true" outlineLevel="0" collapsed="false">
      <c r="A24" s="48" t="s">
        <v>93</v>
      </c>
      <c r="B24" s="48" t="s">
        <v>91</v>
      </c>
      <c r="C24" s="48" t="s">
        <v>222</v>
      </c>
      <c r="D24" s="48" t="s">
        <v>223</v>
      </c>
      <c r="E24" s="48" t="s">
        <v>256</v>
      </c>
      <c r="F24" s="48" t="s">
        <v>257</v>
      </c>
      <c r="G24" s="48"/>
      <c r="H24" s="48" t="s">
        <v>258</v>
      </c>
      <c r="I24" s="48" t="s">
        <v>259</v>
      </c>
      <c r="J24" s="48" t="s">
        <v>229</v>
      </c>
      <c r="K24" s="48" t="s">
        <v>61</v>
      </c>
      <c r="L24" s="48" t="s">
        <v>220</v>
      </c>
      <c r="M24" s="23" t="s">
        <v>21</v>
      </c>
      <c r="N24" s="49" t="s">
        <v>94</v>
      </c>
      <c r="O24" s="49"/>
    </row>
    <row r="25" customFormat="false" ht="14.25" hidden="false" customHeight="true" outlineLevel="0" collapsed="false">
      <c r="A25" s="37" t="s">
        <v>95</v>
      </c>
      <c r="B25" s="37" t="s">
        <v>91</v>
      </c>
      <c r="C25" s="37" t="s">
        <v>222</v>
      </c>
      <c r="D25" s="37" t="s">
        <v>223</v>
      </c>
      <c r="E25" s="37" t="s">
        <v>256</v>
      </c>
      <c r="F25" s="37" t="s">
        <v>257</v>
      </c>
      <c r="G25" s="37"/>
      <c r="H25" s="37" t="s">
        <v>261</v>
      </c>
      <c r="I25" s="37" t="s">
        <v>262</v>
      </c>
      <c r="J25" s="37" t="s">
        <v>229</v>
      </c>
      <c r="K25" s="37" t="s">
        <v>65</v>
      </c>
      <c r="L25" s="37" t="s">
        <v>220</v>
      </c>
      <c r="M25" s="23" t="s">
        <v>21</v>
      </c>
      <c r="N25" s="47" t="s">
        <v>96</v>
      </c>
      <c r="O25" s="47"/>
    </row>
    <row r="26" customFormat="false" ht="68.25" hidden="false" customHeight="true" outlineLevel="0" collapsed="false">
      <c r="A26" s="43" t="s">
        <v>97</v>
      </c>
      <c r="B26" s="43" t="s">
        <v>91</v>
      </c>
      <c r="C26" s="43" t="s">
        <v>222</v>
      </c>
      <c r="D26" s="43" t="s">
        <v>223</v>
      </c>
      <c r="E26" s="43" t="s">
        <v>275</v>
      </c>
      <c r="F26" s="43" t="s">
        <v>276</v>
      </c>
      <c r="G26" s="43" t="s">
        <v>277</v>
      </c>
      <c r="H26" s="43" t="s">
        <v>278</v>
      </c>
      <c r="I26" s="43" t="s">
        <v>279</v>
      </c>
      <c r="J26" s="43" t="s">
        <v>229</v>
      </c>
      <c r="K26" s="43" t="s">
        <v>100</v>
      </c>
      <c r="L26" s="43" t="s">
        <v>220</v>
      </c>
      <c r="M26" s="23" t="s">
        <v>21</v>
      </c>
      <c r="N26" s="44" t="s">
        <v>99</v>
      </c>
      <c r="O26" s="44" t="s">
        <v>339</v>
      </c>
    </row>
    <row r="27" customFormat="false" ht="14.25" hidden="false" customHeight="true" outlineLevel="0" collapsed="false">
      <c r="A27" s="50" t="s">
        <v>101</v>
      </c>
      <c r="B27" s="40" t="s">
        <v>91</v>
      </c>
      <c r="C27" s="40" t="s">
        <v>222</v>
      </c>
      <c r="D27" s="40" t="s">
        <v>223</v>
      </c>
      <c r="E27" s="40" t="s">
        <v>264</v>
      </c>
      <c r="F27" s="40" t="s">
        <v>265</v>
      </c>
      <c r="G27" s="40"/>
      <c r="H27" s="40" t="s">
        <v>266</v>
      </c>
      <c r="I27" s="40" t="s">
        <v>267</v>
      </c>
      <c r="J27" s="40" t="s">
        <v>229</v>
      </c>
      <c r="K27" s="40" t="s">
        <v>70</v>
      </c>
      <c r="L27" s="40" t="s">
        <v>220</v>
      </c>
      <c r="M27" s="23" t="s">
        <v>22</v>
      </c>
      <c r="N27" s="50" t="s">
        <v>102</v>
      </c>
      <c r="O27" s="50" t="s">
        <v>334</v>
      </c>
    </row>
    <row r="28" customFormat="false" ht="14.25" hidden="false" customHeight="true" outlineLevel="0" collapsed="false">
      <c r="A28" s="40" t="s">
        <v>103</v>
      </c>
      <c r="B28" s="40" t="s">
        <v>91</v>
      </c>
      <c r="C28" s="40" t="s">
        <v>232</v>
      </c>
      <c r="D28" s="40" t="s">
        <v>233</v>
      </c>
      <c r="E28" s="40" t="s">
        <v>234</v>
      </c>
      <c r="F28" s="40" t="s">
        <v>235</v>
      </c>
      <c r="G28" s="40" t="s">
        <v>236</v>
      </c>
      <c r="H28" s="40" t="s">
        <v>237</v>
      </c>
      <c r="I28" s="40" t="s">
        <v>238</v>
      </c>
      <c r="J28" s="40" t="s">
        <v>239</v>
      </c>
      <c r="K28" s="40" t="s">
        <v>30</v>
      </c>
      <c r="L28" s="40" t="s">
        <v>220</v>
      </c>
      <c r="M28" s="23" t="s">
        <v>21</v>
      </c>
      <c r="N28" s="50" t="s">
        <v>72</v>
      </c>
      <c r="O28" s="50"/>
    </row>
    <row r="29" customFormat="false" ht="14.25" hidden="false" customHeight="true" outlineLevel="0" collapsed="false">
      <c r="A29" s="41" t="s">
        <v>104</v>
      </c>
      <c r="B29" s="41" t="s">
        <v>91</v>
      </c>
      <c r="C29" s="41" t="s">
        <v>232</v>
      </c>
      <c r="D29" s="41" t="s">
        <v>233</v>
      </c>
      <c r="E29" s="41" t="s">
        <v>256</v>
      </c>
      <c r="F29" s="41" t="s">
        <v>257</v>
      </c>
      <c r="G29" s="41"/>
      <c r="H29" s="41" t="s">
        <v>269</v>
      </c>
      <c r="I29" s="41" t="s">
        <v>270</v>
      </c>
      <c r="J29" s="41" t="s">
        <v>239</v>
      </c>
      <c r="K29" s="41" t="s">
        <v>76</v>
      </c>
      <c r="L29" s="41" t="s">
        <v>220</v>
      </c>
      <c r="M29" s="23" t="s">
        <v>21</v>
      </c>
      <c r="N29" s="51" t="s">
        <v>105</v>
      </c>
      <c r="O29" s="51"/>
    </row>
    <row r="30" customFormat="false" ht="14.25" hidden="false" customHeight="true" outlineLevel="0" collapsed="false">
      <c r="A30" s="41" t="s">
        <v>106</v>
      </c>
      <c r="B30" s="41" t="s">
        <v>91</v>
      </c>
      <c r="C30" s="41" t="s">
        <v>232</v>
      </c>
      <c r="D30" s="41" t="s">
        <v>233</v>
      </c>
      <c r="E30" s="41" t="s">
        <v>234</v>
      </c>
      <c r="F30" s="41" t="s">
        <v>235</v>
      </c>
      <c r="G30" s="41" t="s">
        <v>241</v>
      </c>
      <c r="H30" s="41" t="s">
        <v>242</v>
      </c>
      <c r="I30" s="41" t="s">
        <v>243</v>
      </c>
      <c r="J30" s="41" t="s">
        <v>239</v>
      </c>
      <c r="K30" s="41" t="s">
        <v>34</v>
      </c>
      <c r="L30" s="41" t="s">
        <v>220</v>
      </c>
      <c r="M30" s="23" t="s">
        <v>22</v>
      </c>
      <c r="N30" s="51" t="s">
        <v>78</v>
      </c>
      <c r="O30" s="51"/>
    </row>
    <row r="31" customFormat="false" ht="14.25" hidden="false" customHeight="true" outlineLevel="0" collapsed="false">
      <c r="A31" s="42" t="s">
        <v>107</v>
      </c>
      <c r="B31" s="42" t="s">
        <v>91</v>
      </c>
      <c r="C31" s="42" t="s">
        <v>232</v>
      </c>
      <c r="D31" s="42" t="s">
        <v>233</v>
      </c>
      <c r="E31" s="42" t="s">
        <v>234</v>
      </c>
      <c r="F31" s="42" t="s">
        <v>235</v>
      </c>
      <c r="G31" s="42" t="s">
        <v>236</v>
      </c>
      <c r="H31" s="42" t="s">
        <v>242</v>
      </c>
      <c r="I31" s="42" t="s">
        <v>243</v>
      </c>
      <c r="J31" s="42" t="s">
        <v>239</v>
      </c>
      <c r="K31" s="42" t="s">
        <v>38</v>
      </c>
      <c r="L31" s="42" t="s">
        <v>220</v>
      </c>
      <c r="M31" s="23" t="s">
        <v>22</v>
      </c>
      <c r="N31" s="52" t="s">
        <v>80</v>
      </c>
      <c r="O31" s="52"/>
    </row>
    <row r="32" customFormat="false" ht="14.25" hidden="false" customHeight="true" outlineLevel="0" collapsed="false">
      <c r="A32" s="43" t="s">
        <v>108</v>
      </c>
      <c r="B32" s="43" t="s">
        <v>91</v>
      </c>
      <c r="C32" s="43" t="s">
        <v>232</v>
      </c>
      <c r="D32" s="43" t="s">
        <v>233</v>
      </c>
      <c r="E32" s="43" t="s">
        <v>234</v>
      </c>
      <c r="F32" s="43" t="s">
        <v>235</v>
      </c>
      <c r="G32" s="43" t="s">
        <v>236</v>
      </c>
      <c r="H32" s="43" t="s">
        <v>246</v>
      </c>
      <c r="I32" s="43" t="s">
        <v>247</v>
      </c>
      <c r="J32" s="43" t="s">
        <v>239</v>
      </c>
      <c r="K32" s="43" t="s">
        <v>42</v>
      </c>
      <c r="L32" s="43" t="s">
        <v>220</v>
      </c>
      <c r="M32" s="23" t="s">
        <v>21</v>
      </c>
      <c r="N32" s="44" t="s">
        <v>82</v>
      </c>
      <c r="O32" s="44"/>
    </row>
    <row r="33" customFormat="false" ht="45.75" hidden="false" customHeight="true" outlineLevel="0" collapsed="false">
      <c r="A33" s="38" t="s">
        <v>109</v>
      </c>
      <c r="B33" s="38" t="s">
        <v>91</v>
      </c>
      <c r="C33" s="38" t="s">
        <v>232</v>
      </c>
      <c r="D33" s="38" t="s">
        <v>233</v>
      </c>
      <c r="E33" s="38" t="s">
        <v>281</v>
      </c>
      <c r="F33" s="38" t="s">
        <v>282</v>
      </c>
      <c r="G33" s="38" t="s">
        <v>283</v>
      </c>
      <c r="H33" s="38" t="s">
        <v>284</v>
      </c>
      <c r="I33" s="38" t="s">
        <v>285</v>
      </c>
      <c r="J33" s="38" t="s">
        <v>239</v>
      </c>
      <c r="K33" s="38" t="s">
        <v>112</v>
      </c>
      <c r="L33" s="38" t="s">
        <v>230</v>
      </c>
      <c r="M33" s="23" t="s">
        <v>22</v>
      </c>
      <c r="N33" s="39" t="s">
        <v>111</v>
      </c>
      <c r="O33" s="39" t="s">
        <v>340</v>
      </c>
    </row>
    <row r="34" customFormat="false" ht="14.25" hidden="false" customHeight="true" outlineLevel="0" collapsed="false">
      <c r="A34" s="42" t="s">
        <v>113</v>
      </c>
      <c r="B34" s="42" t="s">
        <v>91</v>
      </c>
      <c r="C34" s="42" t="s">
        <v>232</v>
      </c>
      <c r="D34" s="42" t="s">
        <v>233</v>
      </c>
      <c r="E34" s="42" t="s">
        <v>264</v>
      </c>
      <c r="F34" s="42" t="s">
        <v>265</v>
      </c>
      <c r="G34" s="42" t="s">
        <v>271</v>
      </c>
      <c r="H34" s="42" t="s">
        <v>272</v>
      </c>
      <c r="I34" s="42" t="s">
        <v>273</v>
      </c>
      <c r="J34" s="42" t="s">
        <v>239</v>
      </c>
      <c r="K34" s="42" t="s">
        <v>87</v>
      </c>
      <c r="L34" s="42" t="s">
        <v>220</v>
      </c>
      <c r="M34" s="23" t="s">
        <v>22</v>
      </c>
      <c r="N34" s="52" t="s">
        <v>114</v>
      </c>
      <c r="O34" s="52" t="s">
        <v>334</v>
      </c>
    </row>
    <row r="35" customFormat="false" ht="23.25" hidden="false" customHeight="true" outlineLevel="0" collapsed="false">
      <c r="A35" s="45" t="s">
        <v>115</v>
      </c>
      <c r="B35" s="45" t="s">
        <v>91</v>
      </c>
      <c r="C35" s="45" t="s">
        <v>232</v>
      </c>
      <c r="D35" s="45" t="s">
        <v>233</v>
      </c>
      <c r="E35" s="45" t="s">
        <v>275</v>
      </c>
      <c r="F35" s="45" t="s">
        <v>276</v>
      </c>
      <c r="G35" s="45" t="s">
        <v>287</v>
      </c>
      <c r="H35" s="45" t="s">
        <v>272</v>
      </c>
      <c r="I35" s="45" t="s">
        <v>273</v>
      </c>
      <c r="J35" s="45" t="s">
        <v>239</v>
      </c>
      <c r="K35" s="45" t="s">
        <v>119</v>
      </c>
      <c r="L35" s="45" t="s">
        <v>220</v>
      </c>
      <c r="M35" s="23" t="s">
        <v>22</v>
      </c>
      <c r="N35" s="46" t="s">
        <v>117</v>
      </c>
      <c r="O35" s="46" t="s">
        <v>334</v>
      </c>
    </row>
    <row r="36" customFormat="false" ht="14.25" hidden="false" customHeight="true" outlineLevel="0" collapsed="false">
      <c r="A36" s="45" t="s">
        <v>120</v>
      </c>
      <c r="B36" s="45" t="s">
        <v>91</v>
      </c>
      <c r="C36" s="45" t="s">
        <v>232</v>
      </c>
      <c r="D36" s="45" t="s">
        <v>233</v>
      </c>
      <c r="E36" s="45" t="s">
        <v>234</v>
      </c>
      <c r="F36" s="45" t="s">
        <v>235</v>
      </c>
      <c r="G36" s="45" t="s">
        <v>241</v>
      </c>
      <c r="H36" s="45" t="s">
        <v>250</v>
      </c>
      <c r="I36" s="45" t="s">
        <v>251</v>
      </c>
      <c r="J36" s="45" t="s">
        <v>239</v>
      </c>
      <c r="K36" s="45" t="s">
        <v>54</v>
      </c>
      <c r="L36" s="45" t="s">
        <v>220</v>
      </c>
      <c r="M36" s="23" t="s">
        <v>22</v>
      </c>
      <c r="N36" s="46" t="s">
        <v>89</v>
      </c>
      <c r="O36" s="46" t="s">
        <v>334</v>
      </c>
    </row>
    <row r="37" customFormat="false" ht="57" hidden="false" customHeight="true" outlineLevel="0" collapsed="false">
      <c r="A37" s="38" t="s">
        <v>121</v>
      </c>
      <c r="B37" s="38" t="s">
        <v>122</v>
      </c>
      <c r="C37" s="38" t="s">
        <v>212</v>
      </c>
      <c r="D37" s="38" t="s">
        <v>213</v>
      </c>
      <c r="E37" s="38" t="s">
        <v>288</v>
      </c>
      <c r="F37" s="38" t="s">
        <v>289</v>
      </c>
      <c r="G37" s="38" t="s">
        <v>290</v>
      </c>
      <c r="H37" s="38" t="s">
        <v>291</v>
      </c>
      <c r="I37" s="38" t="s">
        <v>292</v>
      </c>
      <c r="J37" s="38" t="s">
        <v>219</v>
      </c>
      <c r="K37" s="38" t="s">
        <v>125</v>
      </c>
      <c r="L37" s="38" t="s">
        <v>230</v>
      </c>
      <c r="M37" s="23" t="s">
        <v>21</v>
      </c>
      <c r="N37" s="39" t="s">
        <v>124</v>
      </c>
      <c r="O37" s="39" t="s">
        <v>341</v>
      </c>
    </row>
    <row r="38" customFormat="false" ht="57" hidden="false" customHeight="true" outlineLevel="0" collapsed="false">
      <c r="A38" s="48" t="s">
        <v>126</v>
      </c>
      <c r="B38" s="48" t="s">
        <v>122</v>
      </c>
      <c r="C38" s="48" t="s">
        <v>222</v>
      </c>
      <c r="D38" s="48" t="s">
        <v>223</v>
      </c>
      <c r="E38" s="48" t="s">
        <v>294</v>
      </c>
      <c r="F38" s="48" t="s">
        <v>295</v>
      </c>
      <c r="G38" s="48"/>
      <c r="H38" s="48" t="s">
        <v>296</v>
      </c>
      <c r="I38" s="48" t="s">
        <v>297</v>
      </c>
      <c r="J38" s="48" t="s">
        <v>229</v>
      </c>
      <c r="K38" s="48" t="s">
        <v>129</v>
      </c>
      <c r="L38" s="48" t="s">
        <v>220</v>
      </c>
      <c r="M38" s="23" t="s">
        <v>21</v>
      </c>
      <c r="N38" s="49" t="s">
        <v>128</v>
      </c>
      <c r="O38" s="49" t="s">
        <v>342</v>
      </c>
    </row>
    <row r="39" customFormat="false" ht="45.75" hidden="false" customHeight="true" outlineLevel="0" collapsed="false">
      <c r="A39" s="37" t="s">
        <v>130</v>
      </c>
      <c r="B39" s="37" t="s">
        <v>122</v>
      </c>
      <c r="C39" s="37" t="s">
        <v>222</v>
      </c>
      <c r="D39" s="37" t="s">
        <v>223</v>
      </c>
      <c r="E39" s="37" t="s">
        <v>299</v>
      </c>
      <c r="F39" s="37" t="s">
        <v>300</v>
      </c>
      <c r="G39" s="37"/>
      <c r="H39" s="37" t="s">
        <v>301</v>
      </c>
      <c r="I39" s="37" t="s">
        <v>302</v>
      </c>
      <c r="J39" s="37" t="s">
        <v>229</v>
      </c>
      <c r="K39" s="37" t="s">
        <v>133</v>
      </c>
      <c r="L39" s="37" t="s">
        <v>220</v>
      </c>
      <c r="M39" s="23" t="s">
        <v>11</v>
      </c>
      <c r="N39" s="47" t="s">
        <v>132</v>
      </c>
      <c r="O39" s="47" t="s">
        <v>343</v>
      </c>
    </row>
    <row r="40" customFormat="false" ht="57" hidden="false" customHeight="true" outlineLevel="0" collapsed="false">
      <c r="A40" s="38" t="s">
        <v>134</v>
      </c>
      <c r="B40" s="38" t="s">
        <v>122</v>
      </c>
      <c r="C40" s="38" t="s">
        <v>304</v>
      </c>
      <c r="D40" s="38" t="s">
        <v>305</v>
      </c>
      <c r="E40" s="38" t="s">
        <v>288</v>
      </c>
      <c r="F40" s="38" t="s">
        <v>289</v>
      </c>
      <c r="G40" s="38" t="s">
        <v>306</v>
      </c>
      <c r="H40" s="38" t="s">
        <v>307</v>
      </c>
      <c r="I40" s="38" t="s">
        <v>308</v>
      </c>
      <c r="J40" s="38" t="s">
        <v>309</v>
      </c>
      <c r="K40" s="38" t="s">
        <v>137</v>
      </c>
      <c r="L40" s="38" t="s">
        <v>230</v>
      </c>
      <c r="M40" s="23" t="s">
        <v>21</v>
      </c>
      <c r="N40" s="39" t="s">
        <v>136</v>
      </c>
      <c r="O40" s="39"/>
    </row>
    <row r="41" customFormat="false" ht="34.5" hidden="false" customHeight="true" outlineLevel="0" collapsed="false">
      <c r="A41" s="40" t="s">
        <v>138</v>
      </c>
      <c r="B41" s="40" t="s">
        <v>122</v>
      </c>
      <c r="C41" s="40" t="s">
        <v>310</v>
      </c>
      <c r="D41" s="40" t="s">
        <v>311</v>
      </c>
      <c r="E41" s="40" t="s">
        <v>312</v>
      </c>
      <c r="F41" s="40" t="s">
        <v>313</v>
      </c>
      <c r="G41" s="40" t="s">
        <v>314</v>
      </c>
      <c r="H41" s="40" t="s">
        <v>315</v>
      </c>
      <c r="I41" s="40" t="s">
        <v>316</v>
      </c>
      <c r="J41" s="40" t="s">
        <v>317</v>
      </c>
      <c r="K41" s="40" t="s">
        <v>141</v>
      </c>
      <c r="L41" s="40" t="s">
        <v>220</v>
      </c>
      <c r="M41" s="23" t="s">
        <v>22</v>
      </c>
      <c r="N41" s="50" t="s">
        <v>140</v>
      </c>
      <c r="O41" s="50" t="s">
        <v>334</v>
      </c>
    </row>
    <row r="42" customFormat="false" ht="34.5" hidden="false" customHeight="true" outlineLevel="0" collapsed="false">
      <c r="A42" s="41" t="s">
        <v>142</v>
      </c>
      <c r="B42" s="41" t="s">
        <v>122</v>
      </c>
      <c r="C42" s="41" t="s">
        <v>310</v>
      </c>
      <c r="D42" s="41" t="s">
        <v>311</v>
      </c>
      <c r="E42" s="41" t="s">
        <v>294</v>
      </c>
      <c r="F42" s="41" t="s">
        <v>295</v>
      </c>
      <c r="G42" s="41"/>
      <c r="H42" s="41" t="s">
        <v>318</v>
      </c>
      <c r="I42" s="41" t="s">
        <v>319</v>
      </c>
      <c r="J42" s="41" t="s">
        <v>317</v>
      </c>
      <c r="K42" s="41" t="s">
        <v>145</v>
      </c>
      <c r="L42" s="41" t="s">
        <v>220</v>
      </c>
      <c r="M42" s="23" t="s">
        <v>21</v>
      </c>
      <c r="N42" s="51" t="s">
        <v>144</v>
      </c>
      <c r="O42" s="51"/>
    </row>
    <row r="43" customFormat="false" ht="14.25" hidden="false" customHeight="true" outlineLevel="0" collapsed="false">
      <c r="A43" s="48" t="s">
        <v>146</v>
      </c>
      <c r="B43" s="48" t="s">
        <v>147</v>
      </c>
      <c r="C43" s="48" t="s">
        <v>222</v>
      </c>
      <c r="D43" s="48" t="s">
        <v>223</v>
      </c>
      <c r="E43" s="48" t="s">
        <v>294</v>
      </c>
      <c r="F43" s="48" t="s">
        <v>295</v>
      </c>
      <c r="G43" s="48"/>
      <c r="H43" s="48" t="s">
        <v>296</v>
      </c>
      <c r="I43" s="48" t="s">
        <v>297</v>
      </c>
      <c r="J43" s="48" t="s">
        <v>229</v>
      </c>
      <c r="K43" s="48" t="s">
        <v>129</v>
      </c>
      <c r="L43" s="48" t="s">
        <v>220</v>
      </c>
      <c r="M43" s="23" t="s">
        <v>21</v>
      </c>
      <c r="N43" s="49" t="s">
        <v>148</v>
      </c>
      <c r="O43" s="49"/>
    </row>
    <row r="44" customFormat="false" ht="14.25" hidden="false" customHeight="true" outlineLevel="0" collapsed="false">
      <c r="A44" s="41" t="s">
        <v>149</v>
      </c>
      <c r="B44" s="41" t="s">
        <v>147</v>
      </c>
      <c r="C44" s="41" t="s">
        <v>310</v>
      </c>
      <c r="D44" s="41" t="s">
        <v>311</v>
      </c>
      <c r="E44" s="41" t="s">
        <v>294</v>
      </c>
      <c r="F44" s="41" t="s">
        <v>295</v>
      </c>
      <c r="G44" s="41"/>
      <c r="H44" s="41" t="s">
        <v>318</v>
      </c>
      <c r="I44" s="41" t="s">
        <v>319</v>
      </c>
      <c r="J44" s="41" t="s">
        <v>317</v>
      </c>
      <c r="K44" s="41" t="s">
        <v>145</v>
      </c>
      <c r="L44" s="41" t="s">
        <v>220</v>
      </c>
      <c r="M44" s="23" t="s">
        <v>21</v>
      </c>
      <c r="N44" s="51" t="s">
        <v>150</v>
      </c>
      <c r="O44" s="39"/>
    </row>
    <row r="45" customFormat="false" ht="34.5" hidden="false" customHeight="true" outlineLevel="0" collapsed="false">
      <c r="A45" s="38" t="s">
        <v>151</v>
      </c>
      <c r="B45" s="38" t="s">
        <v>147</v>
      </c>
      <c r="C45" s="38" t="s">
        <v>232</v>
      </c>
      <c r="D45" s="38" t="s">
        <v>233</v>
      </c>
      <c r="E45" s="38" t="s">
        <v>320</v>
      </c>
      <c r="F45" s="38" t="s">
        <v>321</v>
      </c>
      <c r="G45" s="38"/>
      <c r="H45" s="38" t="s">
        <v>322</v>
      </c>
      <c r="I45" s="38" t="s">
        <v>323</v>
      </c>
      <c r="J45" s="38" t="s">
        <v>239</v>
      </c>
      <c r="K45" s="38" t="s">
        <v>154</v>
      </c>
      <c r="L45" s="38" t="s">
        <v>230</v>
      </c>
      <c r="M45" s="23" t="s">
        <v>22</v>
      </c>
      <c r="N45" s="39" t="s">
        <v>153</v>
      </c>
      <c r="O45" s="44" t="s">
        <v>334</v>
      </c>
    </row>
    <row r="46" customFormat="false" ht="14.25" hidden="false" customHeight="true" outlineLevel="0" collapsed="false">
      <c r="A46" s="43" t="s">
        <v>155</v>
      </c>
      <c r="B46" s="43" t="s">
        <v>156</v>
      </c>
      <c r="C46" s="43" t="s">
        <v>222</v>
      </c>
      <c r="D46" s="43" t="s">
        <v>223</v>
      </c>
      <c r="E46" s="43" t="s">
        <v>275</v>
      </c>
      <c r="F46" s="43" t="s">
        <v>276</v>
      </c>
      <c r="G46" s="43" t="s">
        <v>277</v>
      </c>
      <c r="H46" s="43" t="s">
        <v>278</v>
      </c>
      <c r="I46" s="43" t="s">
        <v>279</v>
      </c>
      <c r="J46" s="43" t="s">
        <v>229</v>
      </c>
      <c r="K46" s="43" t="s">
        <v>100</v>
      </c>
      <c r="L46" s="43" t="s">
        <v>220</v>
      </c>
      <c r="M46" s="23" t="s">
        <v>21</v>
      </c>
      <c r="N46" s="44" t="s">
        <v>157</v>
      </c>
      <c r="O46" s="39"/>
    </row>
    <row r="47" customFormat="false" ht="112.5" hidden="false" customHeight="true" outlineLevel="0" collapsed="false">
      <c r="A47" s="38" t="s">
        <v>158</v>
      </c>
      <c r="B47" s="38" t="s">
        <v>156</v>
      </c>
      <c r="C47" s="38" t="s">
        <v>222</v>
      </c>
      <c r="D47" s="38" t="s">
        <v>223</v>
      </c>
      <c r="E47" s="38" t="s">
        <v>324</v>
      </c>
      <c r="F47" s="38" t="s">
        <v>325</v>
      </c>
      <c r="G47" s="38"/>
      <c r="H47" s="38" t="s">
        <v>278</v>
      </c>
      <c r="I47" s="38" t="s">
        <v>279</v>
      </c>
      <c r="J47" s="38" t="s">
        <v>229</v>
      </c>
      <c r="K47" s="38" t="s">
        <v>161</v>
      </c>
      <c r="L47" s="38" t="s">
        <v>230</v>
      </c>
      <c r="M47" s="23" t="s">
        <v>21</v>
      </c>
      <c r="N47" s="25" t="s">
        <v>160</v>
      </c>
      <c r="O47" s="53" t="s">
        <v>344</v>
      </c>
    </row>
    <row r="48" customFormat="false" ht="14.25" hidden="false" customHeight="true" outlineLevel="0" collapsed="false">
      <c r="A48" s="45" t="s">
        <v>162</v>
      </c>
      <c r="B48" s="45" t="s">
        <v>156</v>
      </c>
      <c r="C48" s="45" t="s">
        <v>232</v>
      </c>
      <c r="D48" s="45" t="s">
        <v>233</v>
      </c>
      <c r="E48" s="45" t="s">
        <v>275</v>
      </c>
      <c r="F48" s="45" t="s">
        <v>276</v>
      </c>
      <c r="G48" s="45" t="s">
        <v>287</v>
      </c>
      <c r="H48" s="45" t="s">
        <v>272</v>
      </c>
      <c r="I48" s="45" t="s">
        <v>273</v>
      </c>
      <c r="J48" s="45" t="s">
        <v>239</v>
      </c>
      <c r="K48" s="45" t="s">
        <v>119</v>
      </c>
      <c r="L48" s="45" t="s">
        <v>220</v>
      </c>
      <c r="M48" s="23" t="s">
        <v>22</v>
      </c>
      <c r="N48" s="46" t="s">
        <v>163</v>
      </c>
      <c r="O48" s="46" t="s">
        <v>334</v>
      </c>
    </row>
    <row r="49" customFormat="false" ht="23.25" hidden="false" customHeight="true" outlineLevel="0" collapsed="false">
      <c r="A49" s="38" t="s">
        <v>164</v>
      </c>
      <c r="B49" s="38" t="s">
        <v>165</v>
      </c>
      <c r="C49" s="38" t="s">
        <v>222</v>
      </c>
      <c r="D49" s="38" t="s">
        <v>223</v>
      </c>
      <c r="E49" s="38" t="s">
        <v>326</v>
      </c>
      <c r="F49" s="38" t="s">
        <v>327</v>
      </c>
      <c r="G49" s="38"/>
      <c r="H49" s="38" t="s">
        <v>278</v>
      </c>
      <c r="I49" s="38" t="s">
        <v>279</v>
      </c>
      <c r="J49" s="38" t="s">
        <v>229</v>
      </c>
      <c r="K49" s="38" t="s">
        <v>169</v>
      </c>
      <c r="L49" s="38" t="s">
        <v>230</v>
      </c>
      <c r="M49" s="23" t="s">
        <v>22</v>
      </c>
      <c r="N49" s="39" t="s">
        <v>167</v>
      </c>
      <c r="O49" s="39" t="s">
        <v>334</v>
      </c>
    </row>
    <row r="50" customFormat="false" ht="14.25" hidden="false" customHeight="true" outlineLevel="0" collapsed="false">
      <c r="A50" s="37" t="s">
        <v>170</v>
      </c>
      <c r="B50" s="37" t="s">
        <v>165</v>
      </c>
      <c r="C50" s="37" t="s">
        <v>222</v>
      </c>
      <c r="D50" s="37" t="s">
        <v>223</v>
      </c>
      <c r="E50" s="37" t="s">
        <v>299</v>
      </c>
      <c r="F50" s="37" t="s">
        <v>300</v>
      </c>
      <c r="G50" s="37"/>
      <c r="H50" s="37" t="s">
        <v>301</v>
      </c>
      <c r="I50" s="37" t="s">
        <v>302</v>
      </c>
      <c r="J50" s="37" t="s">
        <v>229</v>
      </c>
      <c r="K50" s="37" t="s">
        <v>133</v>
      </c>
      <c r="L50" s="37" t="s">
        <v>220</v>
      </c>
      <c r="M50" s="23" t="s">
        <v>11</v>
      </c>
      <c r="N50" s="47" t="s">
        <v>171</v>
      </c>
      <c r="O50" s="47"/>
    </row>
    <row r="51" customFormat="false" ht="57" hidden="false" customHeight="true" outlineLevel="0" collapsed="false">
      <c r="A51" s="38" t="s">
        <v>172</v>
      </c>
      <c r="B51" s="38" t="s">
        <v>165</v>
      </c>
      <c r="C51" s="38" t="s">
        <v>304</v>
      </c>
      <c r="D51" s="38" t="s">
        <v>305</v>
      </c>
      <c r="E51" s="38" t="s">
        <v>329</v>
      </c>
      <c r="F51" s="38" t="s">
        <v>330</v>
      </c>
      <c r="G51" s="38"/>
      <c r="H51" s="38" t="s">
        <v>307</v>
      </c>
      <c r="I51" s="38" t="s">
        <v>308</v>
      </c>
      <c r="J51" s="38" t="s">
        <v>309</v>
      </c>
      <c r="K51" s="38" t="s">
        <v>175</v>
      </c>
      <c r="L51" s="38" t="s">
        <v>230</v>
      </c>
      <c r="M51" s="23" t="s">
        <v>11</v>
      </c>
      <c r="N51" s="39" t="s">
        <v>174</v>
      </c>
      <c r="O51" s="39" t="s">
        <v>345</v>
      </c>
    </row>
    <row r="52" customFormat="false" ht="21.75" hidden="false" customHeight="true" outlineLevel="0" collapsed="false">
      <c r="A52" s="40" t="s">
        <v>176</v>
      </c>
      <c r="B52" s="40" t="s">
        <v>165</v>
      </c>
      <c r="C52" s="40" t="s">
        <v>310</v>
      </c>
      <c r="D52" s="40" t="s">
        <v>311</v>
      </c>
      <c r="E52" s="40" t="s">
        <v>312</v>
      </c>
      <c r="F52" s="40" t="s">
        <v>313</v>
      </c>
      <c r="G52" s="40" t="s">
        <v>314</v>
      </c>
      <c r="H52" s="40" t="s">
        <v>315</v>
      </c>
      <c r="I52" s="40" t="s">
        <v>316</v>
      </c>
      <c r="J52" s="40" t="s">
        <v>317</v>
      </c>
      <c r="K52" s="40" t="s">
        <v>141</v>
      </c>
      <c r="L52" s="40" t="s">
        <v>220</v>
      </c>
      <c r="M52" s="23" t="s">
        <v>22</v>
      </c>
      <c r="N52" s="50" t="s">
        <v>177</v>
      </c>
      <c r="O52" s="50" t="s">
        <v>334</v>
      </c>
    </row>
    <row r="53" customFormat="false" ht="14.25" hidden="false" customHeight="true" outlineLevel="0" collapsed="false">
      <c r="M53" s="23"/>
    </row>
    <row r="54" customFormat="false" ht="14.25" hidden="false" customHeight="true" outlineLevel="0" collapsed="false">
      <c r="M54" s="23"/>
    </row>
  </sheetData>
  <autoFilter ref="A1:O52"/>
  <dataValidations count="1">
    <dataValidation allowBlank="true" errorStyle="stop" operator="between" showDropDown="false" showErrorMessage="true" showInputMessage="true" sqref="M2:M52" type="list">
      <formula1>"Confirmed,Plausible,No supporting evidence found"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C12" activeCellId="0" sqref="C12"/>
    </sheetView>
  </sheetViews>
  <sheetFormatPr defaultColWidth="8.71484375" defaultRowHeight="12.75" zeroHeight="false" outlineLevelRow="0" outlineLevelCol="0"/>
  <cols>
    <col collapsed="false" customWidth="true" hidden="false" outlineLevel="0" max="1" min="1" style="17" width="10"/>
    <col collapsed="false" customWidth="true" hidden="false" outlineLevel="0" max="2" min="2" style="17" width="58"/>
    <col collapsed="false" customWidth="true" hidden="false" outlineLevel="0" max="3" min="3" style="17" width="84.57"/>
  </cols>
  <sheetData>
    <row r="1" customFormat="false" ht="19.5" hidden="false" customHeight="true" outlineLevel="0" collapsed="false">
      <c r="A1" s="54" t="s">
        <v>346</v>
      </c>
      <c r="B1" s="54" t="s">
        <v>347</v>
      </c>
      <c r="C1" s="54" t="s">
        <v>348</v>
      </c>
    </row>
    <row r="2" customFormat="false" ht="30.75" hidden="false" customHeight="true" outlineLevel="0" collapsed="false">
      <c r="A2" s="55" t="s">
        <v>349</v>
      </c>
      <c r="B2" s="55" t="s">
        <v>350</v>
      </c>
      <c r="C2" s="56" t="s">
        <v>351</v>
      </c>
    </row>
    <row r="3" customFormat="false" ht="15" hidden="false" customHeight="true" outlineLevel="0" collapsed="false">
      <c r="A3" s="55" t="s">
        <v>352</v>
      </c>
      <c r="B3" s="55" t="s">
        <v>353</v>
      </c>
      <c r="C3" s="56" t="s">
        <v>354</v>
      </c>
    </row>
    <row r="4" customFormat="false" ht="15" hidden="false" customHeight="true" outlineLevel="0" collapsed="false">
      <c r="A4" s="57" t="s">
        <v>355</v>
      </c>
      <c r="B4" s="57" t="s">
        <v>353</v>
      </c>
      <c r="C4" s="58" t="s">
        <v>356</v>
      </c>
    </row>
    <row r="5" customFormat="false" ht="30.75" hidden="false" customHeight="true" outlineLevel="0" collapsed="false">
      <c r="A5" s="57" t="s">
        <v>357</v>
      </c>
      <c r="B5" s="57" t="s">
        <v>358</v>
      </c>
      <c r="C5" s="58" t="s">
        <v>359</v>
      </c>
    </row>
    <row r="6" customFormat="false" ht="30.75" hidden="false" customHeight="true" outlineLevel="0" collapsed="false">
      <c r="A6" s="57" t="s">
        <v>360</v>
      </c>
      <c r="B6" s="57" t="s">
        <v>361</v>
      </c>
      <c r="C6" s="58" t="s">
        <v>362</v>
      </c>
    </row>
    <row r="7" customFormat="false" ht="15.75" hidden="false" customHeight="true" outlineLevel="0" collapsed="false">
      <c r="A7" s="59" t="s">
        <v>363</v>
      </c>
      <c r="B7" s="59" t="s">
        <v>364</v>
      </c>
      <c r="C7" s="60" t="s">
        <v>365</v>
      </c>
    </row>
    <row r="8" customFormat="false" ht="15.75" hidden="false" customHeight="true" outlineLevel="0" collapsed="false">
      <c r="A8" s="59" t="s">
        <v>366</v>
      </c>
      <c r="B8" s="59" t="s">
        <v>367</v>
      </c>
      <c r="C8" s="60" t="s">
        <v>368</v>
      </c>
    </row>
  </sheetData>
  <autoFilter ref="A1:C3"/>
  <hyperlinks>
    <hyperlink ref="C2" r:id="rId1" display="https://www.cisa.gov/news-events/ics-advisories/icsa-15-181-01"/>
    <hyperlink ref="C3" r:id="rId2" display="https://www.cisa.gov/news-events/ics-medical-advisories/icsma-20-170-04"/>
    <hyperlink ref="C4" r:id="rId3" display="https://www.cisa.gov/uscert/ics/advisories/icsma-22-251-01"/>
    <hyperlink ref="C5" r:id="rId4" display="https://p1.aprimocdn.net/hillrom/26e03e14-fb91-4c71-9935-b3af014e0821/Spectrum-Ripple20_ICSA-20-168-01_October2024_Original%20file.pdf"/>
    <hyperlink ref="C6" r:id="rId5" display="https://www.nccoe.nist.gov/publication/1800-8/VolB/"/>
    <hyperlink ref="C7" r:id="rId6" display="https://patents.google.com/patent/US10071202B2/en"/>
    <hyperlink ref="C8" r:id="rId7" display="https://www.rapid7.com/blog/post/2022/09/08/baxter-sigma-spectrum-infusion-pumps-multiple-vulnerabilities-fixe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9" activeCellId="0" sqref="A19"/>
    </sheetView>
  </sheetViews>
  <sheetFormatPr defaultColWidth="8.71484375" defaultRowHeight="12.75" zeroHeight="false" outlineLevelRow="0" outlineLevelCol="0"/>
  <cols>
    <col collapsed="false" customWidth="true" hidden="false" outlineLevel="0" max="1" min="1" style="17" width="30"/>
    <col collapsed="false" customWidth="true" hidden="false" outlineLevel="0" max="2" min="2" style="17" width="90"/>
  </cols>
  <sheetData>
    <row r="1" customFormat="false" ht="13.5" hidden="false" customHeight="true" outlineLevel="0" collapsed="false">
      <c r="A1" s="61" t="s">
        <v>369</v>
      </c>
      <c r="B1" s="61" t="s">
        <v>370</v>
      </c>
    </row>
    <row r="2" customFormat="false" ht="13.5" hidden="false" customHeight="true" outlineLevel="0" collapsed="false">
      <c r="A2" s="62" t="s">
        <v>371</v>
      </c>
      <c r="B2" s="63"/>
    </row>
    <row r="3" customFormat="false" ht="14.25" hidden="false" customHeight="true" outlineLevel="0" collapsed="false">
      <c r="A3" s="64" t="s">
        <v>11</v>
      </c>
      <c r="B3" s="65" t="s">
        <v>372</v>
      </c>
    </row>
    <row r="4" customFormat="false" ht="41.25" hidden="false" customHeight="true" outlineLevel="0" collapsed="false">
      <c r="A4" s="64" t="s">
        <v>21</v>
      </c>
      <c r="B4" s="63" t="s">
        <v>373</v>
      </c>
    </row>
    <row r="5" customFormat="false" ht="41.25" hidden="false" customHeight="true" outlineLevel="0" collapsed="false">
      <c r="A5" s="64" t="s">
        <v>22</v>
      </c>
      <c r="B5" s="63" t="s">
        <v>374</v>
      </c>
    </row>
    <row r="6" customFormat="false" ht="41.25" hidden="false" customHeight="true" outlineLevel="0" collapsed="false">
      <c r="A6" s="64" t="s">
        <v>210</v>
      </c>
      <c r="B6" s="63" t="s">
        <v>375</v>
      </c>
    </row>
    <row r="7" customFormat="false" ht="15" hidden="false" customHeight="true" outlineLevel="0" collapsed="false">
      <c r="A7" s="64" t="s">
        <v>211</v>
      </c>
      <c r="B7" s="63" t="s">
        <v>376</v>
      </c>
    </row>
    <row r="8" customFormat="false" ht="13.5" hidden="false" customHeight="true" outlineLevel="0" collapsed="false">
      <c r="A8" s="66"/>
      <c r="B8" s="63"/>
    </row>
    <row r="9" customFormat="false" ht="13.5" hidden="false" customHeight="true" outlineLevel="0" collapsed="false">
      <c r="A9" s="62" t="s">
        <v>377</v>
      </c>
      <c r="B9" s="63"/>
    </row>
    <row r="10" customFormat="false" ht="30.75" hidden="false" customHeight="true" outlineLevel="0" collapsed="false">
      <c r="A10" s="64" t="s">
        <v>378</v>
      </c>
      <c r="B10" s="63" t="s">
        <v>379</v>
      </c>
    </row>
    <row r="11" customFormat="false" ht="13.5" hidden="false" customHeight="true" outlineLevel="0" collapsed="false">
      <c r="A11" s="66"/>
      <c r="B11" s="63"/>
    </row>
    <row r="12" customFormat="false" ht="13.5" hidden="false" customHeight="true" outlineLevel="0" collapsed="false">
      <c r="A12" s="66"/>
      <c r="B12" s="63"/>
    </row>
    <row r="13" customFormat="false" ht="15" hidden="false" customHeight="true" outlineLevel="0" collapsed="false"/>
    <row r="14" customFormat="false" ht="15" hidden="false" customHeight="true" outlineLevel="0" collapsed="false"/>
    <row r="15"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2026-09-30T17:22:09Z</dcterms:created>
  <dc:creator>openpyxl</dc:creator>
  <dc:description/>
  <dc:language>en-IN</dc:language>
  <cp:lastModifiedBy/>
  <dcterms:modified xsi:type="dcterms:W3CDTF">2026-10-12T04:39:25Z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